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53B55827-AD7E-452C-B98F-022E41EF9073}" xr6:coauthVersionLast="47" xr6:coauthVersionMax="47" xr10:uidLastSave="{00000000-0000-0000-0000-000000000000}"/>
  <bookViews>
    <workbookView xWindow="-120" yWindow="-120" windowWidth="20730" windowHeight="11040" tabRatio="751" firstSheet="1" activeTab="2" xr2:uid="{09FDC158-5BB6-4193-8F9E-3BDFC9E6A6F7}"/>
  </bookViews>
  <sheets>
    <sheet name="Menu Details" sheetId="1" r:id="rId1"/>
    <sheet name="Order Data  " sheetId="5" r:id="rId2"/>
    <sheet name="Demand Forecasting" sheetId="8" r:id="rId3"/>
    <sheet name="ABC Classification" sheetId="9" r:id="rId4"/>
    <sheet name="EOQ and ROP" sheetId="10" r:id="rId5"/>
    <sheet name="Contribution Margin" sheetId="11" r:id="rId6"/>
    <sheet name="Ingredient Costs" sheetId="3" r:id="rId7"/>
    <sheet name="Operational Events" sheetId="6" r:id="rId8"/>
    <sheet name="Availability matrix" sheetId="2" r:id="rId9"/>
    <sheet name="Descriptive Analysis" sheetId="7" r:id="rId10"/>
  </sheets>
  <definedNames>
    <definedName name="_xlnm._FilterDatabase" localSheetId="1" hidden="1">'Order Data  '!$J$1:$J$881</definedName>
    <definedName name="Daily_Orders">'Descriptive Analysis'!$H$5:$H$52</definedName>
    <definedName name="Daily_revenue">'Descriptive Analysis'!$I$5:$I$52</definedName>
    <definedName name="DailyOrders">'Descriptive Analysis'!$H$5:$H$52</definedName>
    <definedName name="DailyRevenue">'Descriptive Analysis'!$I$5:$I$52</definedName>
  </definedNames>
  <calcPr calcId="191028"/>
  <pivotCaches>
    <pivotCache cacheId="0" r:id="rId11"/>
    <pivotCache cacheId="1" r:id="rId12"/>
    <pivotCache cacheId="2"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0" l="1"/>
  <c r="I7" i="10" s="1"/>
  <c r="F8" i="10"/>
  <c r="I8" i="10" s="1"/>
  <c r="J7" i="10"/>
  <c r="K7" i="10" s="1"/>
  <c r="J8" i="10"/>
  <c r="K8" i="10" s="1"/>
  <c r="F2" i="10"/>
  <c r="F3" i="10"/>
  <c r="I3" i="10" s="1"/>
  <c r="F4" i="10"/>
  <c r="I4" i="10" s="1"/>
  <c r="F5" i="10"/>
  <c r="I5" i="10" s="1"/>
  <c r="F6" i="10"/>
  <c r="I6" i="10" s="1"/>
  <c r="E2" i="11"/>
  <c r="E4" i="11"/>
  <c r="F4" i="11" s="1"/>
  <c r="G4" i="11" s="1"/>
  <c r="E8" i="11"/>
  <c r="F8" i="11" s="1"/>
  <c r="G8" i="11" s="1"/>
  <c r="E10" i="11"/>
  <c r="F10" i="11" s="1"/>
  <c r="G10" i="11" s="1"/>
  <c r="E12" i="11"/>
  <c r="F12" i="11" s="1"/>
  <c r="G12" i="11" s="1"/>
  <c r="E16" i="11"/>
  <c r="F16" i="11" s="1"/>
  <c r="G16" i="11" s="1"/>
  <c r="E18" i="11"/>
  <c r="F18" i="11" s="1"/>
  <c r="G18" i="11" s="1"/>
  <c r="E20" i="11"/>
  <c r="F20" i="11" s="1"/>
  <c r="G20" i="11" s="1"/>
  <c r="D2" i="11"/>
  <c r="D3" i="11"/>
  <c r="E3" i="11" s="1"/>
  <c r="F3" i="11" s="1"/>
  <c r="G3" i="11" s="1"/>
  <c r="D4" i="11"/>
  <c r="D5" i="11"/>
  <c r="E5" i="11" s="1"/>
  <c r="F5" i="11" s="1"/>
  <c r="G5" i="11" s="1"/>
  <c r="D6" i="11"/>
  <c r="E6" i="11" s="1"/>
  <c r="F6" i="11" s="1"/>
  <c r="G6" i="11" s="1"/>
  <c r="D7" i="11"/>
  <c r="E7" i="11" s="1"/>
  <c r="F7" i="11" s="1"/>
  <c r="G7" i="11" s="1"/>
  <c r="D8" i="11"/>
  <c r="D9" i="11"/>
  <c r="E9" i="11" s="1"/>
  <c r="F9" i="11" s="1"/>
  <c r="G9" i="11" s="1"/>
  <c r="D10" i="11"/>
  <c r="D11" i="11"/>
  <c r="E11" i="11" s="1"/>
  <c r="F11" i="11" s="1"/>
  <c r="G11" i="11" s="1"/>
  <c r="D12" i="11"/>
  <c r="D13" i="11"/>
  <c r="E13" i="11" s="1"/>
  <c r="F13" i="11" s="1"/>
  <c r="G13" i="11" s="1"/>
  <c r="D14" i="11"/>
  <c r="E14" i="11" s="1"/>
  <c r="F14" i="11" s="1"/>
  <c r="G14" i="11" s="1"/>
  <c r="D15" i="11"/>
  <c r="E15" i="11" s="1"/>
  <c r="F15" i="11" s="1"/>
  <c r="G15" i="11" s="1"/>
  <c r="D16" i="11"/>
  <c r="D17" i="11"/>
  <c r="E17" i="11" s="1"/>
  <c r="F17" i="11" s="1"/>
  <c r="G17" i="11" s="1"/>
  <c r="D18" i="11"/>
  <c r="D19" i="11"/>
  <c r="E19" i="11" s="1"/>
  <c r="F19" i="11" s="1"/>
  <c r="G19" i="11" s="1"/>
  <c r="D20" i="11"/>
  <c r="D21" i="11"/>
  <c r="E21" i="11" s="1"/>
  <c r="F21" i="11" s="1"/>
  <c r="G21" i="11" s="1"/>
  <c r="F2" i="11"/>
  <c r="G2" i="11" s="1"/>
  <c r="J3" i="10"/>
  <c r="K3" i="10" s="1"/>
  <c r="J4" i="10"/>
  <c r="K4" i="10" s="1"/>
  <c r="J5" i="10"/>
  <c r="K5" i="10" s="1"/>
  <c r="J6" i="10"/>
  <c r="K6" i="10" s="1"/>
  <c r="J2" i="10"/>
  <c r="K2" i="10" s="1"/>
  <c r="I2" i="10"/>
  <c r="H2" i="9"/>
  <c r="H3" i="9"/>
  <c r="H4" i="9"/>
  <c r="H5" i="9"/>
  <c r="H6" i="9"/>
  <c r="H7" i="9"/>
  <c r="H8" i="9"/>
  <c r="H9" i="9"/>
  <c r="H10" i="9"/>
  <c r="H11" i="9"/>
  <c r="H12" i="9"/>
  <c r="H13" i="9"/>
  <c r="H14" i="9"/>
  <c r="H15" i="9"/>
  <c r="H16" i="9"/>
  <c r="H17" i="9"/>
  <c r="G4" i="9"/>
  <c r="G5" i="9" s="1"/>
  <c r="G6" i="9" s="1"/>
  <c r="G7" i="9" s="1"/>
  <c r="G8" i="9" s="1"/>
  <c r="G9" i="9" s="1"/>
  <c r="G10" i="9" s="1"/>
  <c r="G11" i="9" s="1"/>
  <c r="G12" i="9" s="1"/>
  <c r="G13" i="9" s="1"/>
  <c r="G14" i="9" s="1"/>
  <c r="G15" i="9" s="1"/>
  <c r="G16" i="9" s="1"/>
  <c r="G17" i="9" s="1"/>
  <c r="G3" i="9"/>
  <c r="G2" i="9"/>
  <c r="E2" i="9"/>
  <c r="F2" i="9" s="1"/>
  <c r="E4" i="9"/>
  <c r="F4" i="9" s="1"/>
  <c r="E14" i="9"/>
  <c r="F14" i="9" s="1"/>
  <c r="E13" i="9"/>
  <c r="F13" i="9" s="1"/>
  <c r="E6" i="9"/>
  <c r="F6" i="9" s="1"/>
  <c r="E8" i="9"/>
  <c r="F8" i="9" s="1"/>
  <c r="E7" i="9"/>
  <c r="F7" i="9" s="1"/>
  <c r="E12" i="9"/>
  <c r="F12" i="9" s="1"/>
  <c r="E15" i="9"/>
  <c r="F15" i="9" s="1"/>
  <c r="E16" i="9"/>
  <c r="F16" i="9" s="1"/>
  <c r="E9" i="9"/>
  <c r="F9" i="9" s="1"/>
  <c r="E10" i="9"/>
  <c r="F10" i="9" s="1"/>
  <c r="E17" i="9"/>
  <c r="F17" i="9" s="1"/>
  <c r="E5" i="9"/>
  <c r="F5" i="9" s="1"/>
  <c r="E11" i="9"/>
  <c r="F11" i="9" s="1"/>
  <c r="E3" i="9"/>
  <c r="F3" i="9" s="1"/>
  <c r="D2" i="8"/>
  <c r="E3" i="8" s="1"/>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9" i="8"/>
  <c r="M12" i="7"/>
  <c r="O27" i="7"/>
  <c r="P27" i="7"/>
  <c r="N27" i="7"/>
  <c r="O20" i="7"/>
  <c r="P20" i="7"/>
  <c r="N20" i="7"/>
  <c r="N11" i="7"/>
  <c r="N10" i="7"/>
  <c r="N9" i="7"/>
  <c r="N8" i="7"/>
  <c r="N7" i="7"/>
  <c r="N5" i="7"/>
  <c r="B24" i="7"/>
  <c r="B23" i="7"/>
  <c r="B22" i="7"/>
  <c r="B21" i="7"/>
  <c r="B20" i="7"/>
  <c r="B19" i="7"/>
  <c r="B18" i="7"/>
  <c r="B17" i="7"/>
  <c r="B16" i="7"/>
  <c r="B11" i="7"/>
  <c r="B10" i="7"/>
  <c r="B9" i="7"/>
  <c r="B8" i="7"/>
  <c r="B7" i="7"/>
  <c r="B6" i="7"/>
  <c r="B5" i="7"/>
  <c r="B4" i="7"/>
  <c r="B3" i="7"/>
  <c r="L3" i="1"/>
  <c r="K3" i="5"/>
  <c r="K4" i="5"/>
  <c r="K5" i="5"/>
  <c r="K6" i="5"/>
  <c r="K7" i="5"/>
  <c r="K8" i="5"/>
  <c r="K9" i="5"/>
  <c r="K10" i="5"/>
  <c r="K11" i="5"/>
  <c r="K12" i="5" s="1"/>
  <c r="K13" i="5" s="1"/>
  <c r="K14" i="5"/>
  <c r="K15" i="5"/>
  <c r="K16" i="5"/>
  <c r="K17" i="5"/>
  <c r="K18" i="5"/>
  <c r="K19" i="5"/>
  <c r="K20" i="5"/>
  <c r="K21" i="5"/>
  <c r="K22" i="5"/>
  <c r="K23" i="5"/>
  <c r="K24" i="5"/>
  <c r="K25" i="5"/>
  <c r="K26" i="5"/>
  <c r="K27" i="5"/>
  <c r="K28" i="5"/>
  <c r="K29" i="5"/>
  <c r="K30" i="5"/>
  <c r="K31" i="5"/>
  <c r="K32" i="5"/>
  <c r="K33" i="5"/>
  <c r="K34" i="5"/>
  <c r="K35" i="5"/>
  <c r="K36" i="5"/>
  <c r="K37" i="5"/>
  <c r="K38" i="5"/>
  <c r="K39" i="5" s="1"/>
  <c r="K40" i="5" s="1"/>
  <c r="K41" i="5"/>
  <c r="K42" i="5"/>
  <c r="K43" i="5"/>
  <c r="K44" i="5" s="1"/>
  <c r="K45" i="5" s="1"/>
  <c r="K46" i="5"/>
  <c r="K47" i="5" s="1"/>
  <c r="K48" i="5"/>
  <c r="K49" i="5"/>
  <c r="K50" i="5"/>
  <c r="K51" i="5"/>
  <c r="K52" i="5"/>
  <c r="K53" i="5"/>
  <c r="K54" i="5"/>
  <c r="K55" i="5"/>
  <c r="K56" i="5"/>
  <c r="K57" i="5"/>
  <c r="K58" i="5"/>
  <c r="K59" i="5"/>
  <c r="K60" i="5"/>
  <c r="K61" i="5" s="1"/>
  <c r="K62" i="5"/>
  <c r="K63" i="5"/>
  <c r="K64" i="5" s="1"/>
  <c r="K65" i="5"/>
  <c r="K66" i="5" s="1"/>
  <c r="K67" i="5" s="1"/>
  <c r="K68" i="5"/>
  <c r="K69" i="5" s="1"/>
  <c r="K70" i="5"/>
  <c r="K71" i="5"/>
  <c r="K72" i="5" s="1"/>
  <c r="K73" i="5" s="1"/>
  <c r="K74" i="5"/>
  <c r="K75" i="5"/>
  <c r="K76" i="5"/>
  <c r="K77" i="5"/>
  <c r="K78" i="5"/>
  <c r="K79" i="5"/>
  <c r="K80" i="5"/>
  <c r="K81" i="5"/>
  <c r="K82" i="5"/>
  <c r="K83" i="5"/>
  <c r="K84" i="5" s="1"/>
  <c r="K85" i="5"/>
  <c r="K86" i="5" s="1"/>
  <c r="K87" i="5" s="1"/>
  <c r="K88" i="5"/>
  <c r="K89" i="5" s="1"/>
  <c r="K90" i="5"/>
  <c r="K91" i="5" s="1"/>
  <c r="K92" i="5" s="1"/>
  <c r="K93" i="5"/>
  <c r="K94" i="5" s="1"/>
  <c r="K95" i="5" s="1"/>
  <c r="K96" i="5"/>
  <c r="K97" i="5"/>
  <c r="K98" i="5" s="1"/>
  <c r="K99" i="5" s="1"/>
  <c r="K100" i="5"/>
  <c r="K101" i="5"/>
  <c r="K102" i="5"/>
  <c r="K103" i="5"/>
  <c r="K104" i="5"/>
  <c r="K105" i="5"/>
  <c r="K106" i="5"/>
  <c r="K107" i="5"/>
  <c r="K108" i="5"/>
  <c r="K109" i="5" s="1"/>
  <c r="K110" i="5"/>
  <c r="K111" i="5"/>
  <c r="K112" i="5" s="1"/>
  <c r="K113" i="5" s="1"/>
  <c r="K114" i="5"/>
  <c r="K115" i="5" s="1"/>
  <c r="K116" i="5" s="1"/>
  <c r="K117" i="5" s="1"/>
  <c r="K118" i="5" s="1"/>
  <c r="K119" i="5"/>
  <c r="K120" i="5" s="1"/>
  <c r="K121" i="5" s="1"/>
  <c r="K122" i="5"/>
  <c r="K123" i="5" s="1"/>
  <c r="K124" i="5"/>
  <c r="K125" i="5" s="1"/>
  <c r="K126" i="5" s="1"/>
  <c r="K127" i="5" s="1"/>
  <c r="K128" i="5" s="1"/>
  <c r="K129" i="5"/>
  <c r="K130" i="5"/>
  <c r="K131" i="5" s="1"/>
  <c r="K132" i="5" s="1"/>
  <c r="K133" i="5"/>
  <c r="K134" i="5" s="1"/>
  <c r="K135" i="5"/>
  <c r="K136" i="5" s="1"/>
  <c r="K137" i="5" s="1"/>
  <c r="K138" i="5"/>
  <c r="K139" i="5" s="1"/>
  <c r="K140" i="5" s="1"/>
  <c r="K141" i="5"/>
  <c r="K142" i="5"/>
  <c r="K143" i="5"/>
  <c r="K144" i="5"/>
  <c r="K145" i="5"/>
  <c r="K146" i="5"/>
  <c r="K147" i="5"/>
  <c r="K148" i="5"/>
  <c r="K149" i="5"/>
  <c r="K150" i="5"/>
  <c r="K151" i="5"/>
  <c r="K152" i="5"/>
  <c r="K153" i="5" s="1"/>
  <c r="K154" i="5" s="1"/>
  <c r="K155" i="5" s="1"/>
  <c r="K156" i="5"/>
  <c r="K157" i="5" s="1"/>
  <c r="K158" i="5"/>
  <c r="K159" i="5" s="1"/>
  <c r="K160" i="5"/>
  <c r="K161" i="5" s="1"/>
  <c r="K162" i="5"/>
  <c r="K163" i="5" s="1"/>
  <c r="K164" i="5"/>
  <c r="K165" i="5" s="1"/>
  <c r="K166" i="5" s="1"/>
  <c r="K167" i="5" s="1"/>
  <c r="K168" i="5"/>
  <c r="K169" i="5"/>
  <c r="K170" i="5"/>
  <c r="K171" i="5"/>
  <c r="K172" i="5"/>
  <c r="K173" i="5"/>
  <c r="K174" i="5"/>
  <c r="K175" i="5"/>
  <c r="K176" i="5"/>
  <c r="K177" i="5"/>
  <c r="K178" i="5" s="1"/>
  <c r="K179" i="5" s="1"/>
  <c r="K180" i="5"/>
  <c r="K181" i="5" s="1"/>
  <c r="K182" i="5"/>
  <c r="K183" i="5" s="1"/>
  <c r="K184" i="5"/>
  <c r="K185" i="5"/>
  <c r="K186" i="5" s="1"/>
  <c r="K187" i="5" s="1"/>
  <c r="K188" i="5"/>
  <c r="K189" i="5" s="1"/>
  <c r="K190" i="5"/>
  <c r="K191" i="5"/>
  <c r="K192" i="5" s="1"/>
  <c r="K193" i="5" s="1"/>
  <c r="K194" i="5" s="1"/>
  <c r="K195" i="5"/>
  <c r="K196" i="5"/>
  <c r="K197" i="5" s="1"/>
  <c r="K198" i="5" s="1"/>
  <c r="K199" i="5"/>
  <c r="K200" i="5" s="1"/>
  <c r="K201" i="5"/>
  <c r="K202" i="5" s="1"/>
  <c r="K203" i="5"/>
  <c r="K204" i="5"/>
  <c r="K205" i="5"/>
  <c r="K206" i="5"/>
  <c r="K207" i="5"/>
  <c r="K208" i="5"/>
  <c r="K209" i="5"/>
  <c r="K210" i="5"/>
  <c r="K211" i="5"/>
  <c r="K212" i="5"/>
  <c r="K213" i="5"/>
  <c r="K214" i="5" s="1"/>
  <c r="K215" i="5"/>
  <c r="K216" i="5" s="1"/>
  <c r="K217" i="5" s="1"/>
  <c r="K218" i="5"/>
  <c r="K219" i="5" s="1"/>
  <c r="K220" i="5" s="1"/>
  <c r="K221" i="5" s="1"/>
  <c r="K222" i="5"/>
  <c r="K223" i="5"/>
  <c r="K224" i="5" s="1"/>
  <c r="K225" i="5"/>
  <c r="K226" i="5"/>
  <c r="K227" i="5"/>
  <c r="K228" i="5"/>
  <c r="K229" i="5" s="1"/>
  <c r="K230" i="5" s="1"/>
  <c r="K231" i="5" s="1"/>
  <c r="K232" i="5"/>
  <c r="K233" i="5"/>
  <c r="K234" i="5"/>
  <c r="K235" i="5"/>
  <c r="K236" i="5"/>
  <c r="K237" i="5"/>
  <c r="K238" i="5"/>
  <c r="K239" i="5"/>
  <c r="K240" i="5"/>
  <c r="K241" i="5"/>
  <c r="K242" i="5"/>
  <c r="K243" i="5" s="1"/>
  <c r="K244" i="5" s="1"/>
  <c r="K245" i="5"/>
  <c r="K246" i="5" s="1"/>
  <c r="K247" i="5"/>
  <c r="K248" i="5" s="1"/>
  <c r="K249" i="5" s="1"/>
  <c r="K250" i="5" s="1"/>
  <c r="K251" i="5"/>
  <c r="K252" i="5"/>
  <c r="K253" i="5" s="1"/>
  <c r="K254" i="5" s="1"/>
  <c r="K255" i="5"/>
  <c r="K256" i="5"/>
  <c r="K257" i="5"/>
  <c r="K258" i="5"/>
  <c r="K259" i="5"/>
  <c r="K260" i="5"/>
  <c r="K261" i="5"/>
  <c r="K262" i="5"/>
  <c r="K263" i="5"/>
  <c r="K264" i="5"/>
  <c r="K265" i="5"/>
  <c r="K266" i="5"/>
  <c r="K267" i="5"/>
  <c r="K268" i="5"/>
  <c r="K269" i="5"/>
  <c r="K270" i="5"/>
  <c r="K271" i="5"/>
  <c r="K272" i="5" s="1"/>
  <c r="K273" i="5" s="1"/>
  <c r="K274" i="5"/>
  <c r="K275" i="5" s="1"/>
  <c r="K276" i="5"/>
  <c r="K277" i="5" s="1"/>
  <c r="K278" i="5"/>
  <c r="K279" i="5" s="1"/>
  <c r="K280" i="5" s="1"/>
  <c r="K281" i="5"/>
  <c r="K282" i="5"/>
  <c r="K283" i="5"/>
  <c r="K284" i="5"/>
  <c r="K285" i="5"/>
  <c r="K286" i="5"/>
  <c r="K287" i="5"/>
  <c r="K288" i="5"/>
  <c r="K289" i="5"/>
  <c r="K290" i="5"/>
  <c r="K291" i="5" s="1"/>
  <c r="K292" i="5" s="1"/>
  <c r="K293" i="5"/>
  <c r="K294" i="5" s="1"/>
  <c r="K295" i="5" s="1"/>
  <c r="K296" i="5"/>
  <c r="K297" i="5" s="1"/>
  <c r="K298" i="5"/>
  <c r="K299" i="5" s="1"/>
  <c r="K300" i="5" s="1"/>
  <c r="K301" i="5"/>
  <c r="K302" i="5" s="1"/>
  <c r="K303" i="5" s="1"/>
  <c r="K304" i="5" s="1"/>
  <c r="K305" i="5"/>
  <c r="K306" i="5"/>
  <c r="K307" i="5"/>
  <c r="K308" i="5"/>
  <c r="K309" i="5"/>
  <c r="K310" i="5"/>
  <c r="K311" i="5"/>
  <c r="K312" i="5"/>
  <c r="K313" i="5" s="1"/>
  <c r="K314" i="5" s="1"/>
  <c r="K315" i="5" s="1"/>
  <c r="K316" i="5"/>
  <c r="K317" i="5"/>
  <c r="K318" i="5"/>
  <c r="K319" i="5"/>
  <c r="K320" i="5"/>
  <c r="K321" i="5"/>
  <c r="K322" i="5"/>
  <c r="K323" i="5"/>
  <c r="K324" i="5"/>
  <c r="K325" i="5"/>
  <c r="K326" i="5"/>
  <c r="K327" i="5" s="1"/>
  <c r="K328" i="5"/>
  <c r="K329" i="5" s="1"/>
  <c r="K330" i="5" s="1"/>
  <c r="K331" i="5"/>
  <c r="K332" i="5"/>
  <c r="K333" i="5"/>
  <c r="K334" i="5"/>
  <c r="K335" i="5"/>
  <c r="K336" i="5"/>
  <c r="K337" i="5"/>
  <c r="K338" i="5"/>
  <c r="K339" i="5"/>
  <c r="K340" i="5"/>
  <c r="K341" i="5"/>
  <c r="K342" i="5" s="1"/>
  <c r="K343" i="5"/>
  <c r="K344" i="5"/>
  <c r="K345" i="5"/>
  <c r="K346" i="5" s="1"/>
  <c r="K347" i="5"/>
  <c r="K348" i="5"/>
  <c r="K349" i="5" s="1"/>
  <c r="K350" i="5" s="1"/>
  <c r="K351" i="5"/>
  <c r="K352" i="5"/>
  <c r="K353" i="5"/>
  <c r="K354" i="5"/>
  <c r="K355" i="5"/>
  <c r="K356" i="5"/>
  <c r="K357" i="5"/>
  <c r="K358" i="5"/>
  <c r="K359" i="5"/>
  <c r="K360" i="5"/>
  <c r="K361" i="5" s="1"/>
  <c r="K362" i="5" s="1"/>
  <c r="K363" i="5" s="1"/>
  <c r="K364" i="5"/>
  <c r="K365" i="5"/>
  <c r="K366" i="5" s="1"/>
  <c r="K367" i="5"/>
  <c r="K368" i="5" s="1"/>
  <c r="K369" i="5"/>
  <c r="K370" i="5" s="1"/>
  <c r="K371" i="5" s="1"/>
  <c r="K372" i="5"/>
  <c r="K373" i="5"/>
  <c r="K374" i="5"/>
  <c r="K375" i="5"/>
  <c r="K376" i="5"/>
  <c r="K377" i="5"/>
  <c r="K378" i="5" s="1"/>
  <c r="K379" i="5" s="1"/>
  <c r="K380" i="5" s="1"/>
  <c r="K381" i="5"/>
  <c r="K382" i="5"/>
  <c r="K383" i="5" s="1"/>
  <c r="K384" i="5" s="1"/>
  <c r="K385" i="5"/>
  <c r="K386" i="5" s="1"/>
  <c r="K387" i="5"/>
  <c r="K388" i="5"/>
  <c r="K389" i="5" s="1"/>
  <c r="K390" i="5"/>
  <c r="K391" i="5"/>
  <c r="K392" i="5" s="1"/>
  <c r="K393" i="5"/>
  <c r="K394" i="5" s="1"/>
  <c r="K395" i="5" s="1"/>
  <c r="K396" i="5"/>
  <c r="K397" i="5" s="1"/>
  <c r="K398" i="5"/>
  <c r="K399" i="5"/>
  <c r="K400" i="5"/>
  <c r="K401" i="5"/>
  <c r="K402" i="5"/>
  <c r="K403" i="5"/>
  <c r="K404" i="5"/>
  <c r="K405" i="5"/>
  <c r="K406" i="5"/>
  <c r="K407" i="5"/>
  <c r="K408" i="5"/>
  <c r="K409" i="5" s="1"/>
  <c r="K410" i="5" s="1"/>
  <c r="K411" i="5" s="1"/>
  <c r="K412" i="5"/>
  <c r="K413" i="5" s="1"/>
  <c r="K414" i="5" s="1"/>
  <c r="K415" i="5" s="1"/>
  <c r="K416" i="5" s="1"/>
  <c r="K417" i="5"/>
  <c r="K418" i="5" s="1"/>
  <c r="K419" i="5" s="1"/>
  <c r="K420" i="5" s="1"/>
  <c r="K421" i="5"/>
  <c r="K422" i="5" s="1"/>
  <c r="K423" i="5"/>
  <c r="K424" i="5" s="1"/>
  <c r="K425" i="5" s="1"/>
  <c r="K426" i="5" s="1"/>
  <c r="K427" i="5"/>
  <c r="K428" i="5"/>
  <c r="K429" i="5"/>
  <c r="K430" i="5"/>
  <c r="K431" i="5"/>
  <c r="K432" i="5"/>
  <c r="K433" i="5"/>
  <c r="K434" i="5" s="1"/>
  <c r="K435" i="5"/>
  <c r="K436" i="5" s="1"/>
  <c r="K437" i="5"/>
  <c r="K438" i="5"/>
  <c r="K439" i="5"/>
  <c r="K440" i="5"/>
  <c r="K441" i="5"/>
  <c r="K442" i="5" s="1"/>
  <c r="K443" i="5" s="1"/>
  <c r="K444" i="5"/>
  <c r="K445" i="5"/>
  <c r="K446" i="5"/>
  <c r="K447" i="5"/>
  <c r="K448" i="5"/>
  <c r="K449" i="5"/>
  <c r="K450" i="5"/>
  <c r="K451" i="5"/>
  <c r="K452" i="5"/>
  <c r="K453" i="5"/>
  <c r="K454" i="5"/>
  <c r="K455" i="5"/>
  <c r="K456" i="5"/>
  <c r="K457" i="5"/>
  <c r="K458" i="5"/>
  <c r="K459" i="5"/>
  <c r="K460" i="5" s="1"/>
  <c r="K461" i="5" s="1"/>
  <c r="K462" i="5"/>
  <c r="K463" i="5"/>
  <c r="K464" i="5"/>
  <c r="K465" i="5"/>
  <c r="K466" i="5"/>
  <c r="K467" i="5"/>
  <c r="K468" i="5"/>
  <c r="K469" i="5"/>
  <c r="K470" i="5"/>
  <c r="K471" i="5"/>
  <c r="K472" i="5"/>
  <c r="K473" i="5" s="1"/>
  <c r="K474" i="5"/>
  <c r="K475" i="5"/>
  <c r="K476" i="5" s="1"/>
  <c r="K477" i="5"/>
  <c r="K478" i="5"/>
  <c r="K479" i="5"/>
  <c r="K480" i="5"/>
  <c r="K481" i="5"/>
  <c r="K482" i="5"/>
  <c r="K483" i="5"/>
  <c r="K484" i="5"/>
  <c r="K485" i="5" s="1"/>
  <c r="K486" i="5"/>
  <c r="K487" i="5"/>
  <c r="K488" i="5"/>
  <c r="K489" i="5" s="1"/>
  <c r="K490" i="5" s="1"/>
  <c r="K491" i="5"/>
  <c r="K492" i="5" s="1"/>
  <c r="K493" i="5" s="1"/>
  <c r="K494" i="5"/>
  <c r="K495" i="5"/>
  <c r="K496" i="5"/>
  <c r="K497" i="5"/>
  <c r="K498" i="5"/>
  <c r="K499" i="5"/>
  <c r="K500" i="5"/>
  <c r="K501" i="5"/>
  <c r="K502" i="5"/>
  <c r="K503" i="5"/>
  <c r="K504" i="5"/>
  <c r="K505" i="5"/>
  <c r="K506" i="5"/>
  <c r="K507" i="5"/>
  <c r="K508" i="5"/>
  <c r="K509" i="5"/>
  <c r="K510" i="5" s="1"/>
  <c r="K511" i="5" s="1"/>
  <c r="K512" i="5"/>
  <c r="K513" i="5" s="1"/>
  <c r="K514" i="5" s="1"/>
  <c r="K515" i="5"/>
  <c r="K516" i="5" s="1"/>
  <c r="K517" i="5" s="1"/>
  <c r="K518" i="5" s="1"/>
  <c r="K519" i="5"/>
  <c r="K520" i="5" s="1"/>
  <c r="K521" i="5"/>
  <c r="K522" i="5" s="1"/>
  <c r="K523" i="5"/>
  <c r="K524" i="5" s="1"/>
  <c r="K525" i="5"/>
  <c r="K526" i="5" s="1"/>
  <c r="K527" i="5"/>
  <c r="K528" i="5"/>
  <c r="K529" i="5"/>
  <c r="K530" i="5"/>
  <c r="K531" i="5"/>
  <c r="K532" i="5"/>
  <c r="K533" i="5" s="1"/>
  <c r="K534" i="5"/>
  <c r="K535" i="5" s="1"/>
  <c r="K536" i="5" s="1"/>
  <c r="K537" i="5"/>
  <c r="K538" i="5" s="1"/>
  <c r="K539" i="5"/>
  <c r="K540" i="5" s="1"/>
  <c r="K541" i="5"/>
  <c r="K542" i="5" s="1"/>
  <c r="K543" i="5"/>
  <c r="K544" i="5" s="1"/>
  <c r="K545" i="5"/>
  <c r="K546" i="5"/>
  <c r="K547" i="5"/>
  <c r="K548" i="5"/>
  <c r="K549" i="5"/>
  <c r="K550" i="5"/>
  <c r="K551" i="5"/>
  <c r="K552" i="5"/>
  <c r="K553" i="5"/>
  <c r="K554" i="5" s="1"/>
  <c r="K555" i="5"/>
  <c r="K556" i="5"/>
  <c r="K557" i="5"/>
  <c r="K558" i="5" s="1"/>
  <c r="K559" i="5" s="1"/>
  <c r="K560" i="5"/>
  <c r="K561" i="5" s="1"/>
  <c r="K562" i="5"/>
  <c r="K563" i="5"/>
  <c r="K564" i="5"/>
  <c r="K565" i="5"/>
  <c r="K566" i="5"/>
  <c r="K567" i="5"/>
  <c r="K568" i="5"/>
  <c r="K569" i="5"/>
  <c r="K570" i="5"/>
  <c r="K571" i="5" s="1"/>
  <c r="K572" i="5" s="1"/>
  <c r="K573" i="5" s="1"/>
  <c r="K574" i="5"/>
  <c r="K575" i="5" s="1"/>
  <c r="K576" i="5"/>
  <c r="K577" i="5" s="1"/>
  <c r="K578" i="5"/>
  <c r="K579" i="5" s="1"/>
  <c r="K580" i="5"/>
  <c r="K581" i="5" s="1"/>
  <c r="K582" i="5" s="1"/>
  <c r="K583" i="5"/>
  <c r="K584" i="5"/>
  <c r="K585" i="5"/>
  <c r="K586" i="5"/>
  <c r="K587" i="5"/>
  <c r="K588" i="5"/>
  <c r="K589" i="5"/>
  <c r="K590" i="5"/>
  <c r="K591" i="5" s="1"/>
  <c r="K592" i="5"/>
  <c r="K593" i="5" s="1"/>
  <c r="K594" i="5" s="1"/>
  <c r="K595" i="5"/>
  <c r="K596" i="5" s="1"/>
  <c r="K597" i="5" s="1"/>
  <c r="K598" i="5" s="1"/>
  <c r="K599" i="5" s="1"/>
  <c r="K600" i="5"/>
  <c r="K601" i="5" s="1"/>
  <c r="K602" i="5"/>
  <c r="K603" i="5" s="1"/>
  <c r="K604" i="5" s="1"/>
  <c r="K605" i="5"/>
  <c r="K606" i="5" s="1"/>
  <c r="K607" i="5" s="1"/>
  <c r="K608" i="5" s="1"/>
  <c r="K609" i="5"/>
  <c r="K610" i="5"/>
  <c r="K611" i="5"/>
  <c r="K612" i="5"/>
  <c r="K613" i="5"/>
  <c r="K614" i="5"/>
  <c r="K615" i="5"/>
  <c r="K616" i="5"/>
  <c r="K617" i="5"/>
  <c r="K618" i="5" s="1"/>
  <c r="K619" i="5" s="1"/>
  <c r="K620" i="5"/>
  <c r="K621" i="5" s="1"/>
  <c r="K622" i="5"/>
  <c r="K623" i="5" s="1"/>
  <c r="K624" i="5"/>
  <c r="K625" i="5"/>
  <c r="K626" i="5" s="1"/>
  <c r="K627" i="5"/>
  <c r="K628" i="5" s="1"/>
  <c r="K629" i="5" s="1"/>
  <c r="K630" i="5"/>
  <c r="K631" i="5" s="1"/>
  <c r="K632" i="5"/>
  <c r="K633" i="5" s="1"/>
  <c r="K634" i="5" s="1"/>
  <c r="K635" i="5" s="1"/>
  <c r="K636" i="5" s="1"/>
  <c r="K637" i="5"/>
  <c r="K638" i="5"/>
  <c r="K639" i="5"/>
  <c r="K640" i="5"/>
  <c r="K641" i="5"/>
  <c r="K642" i="5"/>
  <c r="K643" i="5"/>
  <c r="K644" i="5"/>
  <c r="K645" i="5"/>
  <c r="K646" i="5" s="1"/>
  <c r="K647" i="5" s="1"/>
  <c r="K648" i="5"/>
  <c r="K649" i="5" s="1"/>
  <c r="K650" i="5"/>
  <c r="K651" i="5"/>
  <c r="K652" i="5" s="1"/>
  <c r="K653" i="5" s="1"/>
  <c r="K654" i="5" s="1"/>
  <c r="K655" i="5" s="1"/>
  <c r="K656" i="5"/>
  <c r="K657" i="5"/>
  <c r="K658" i="5" s="1"/>
  <c r="K659" i="5" s="1"/>
  <c r="K660" i="5"/>
  <c r="K661" i="5"/>
  <c r="K662" i="5" s="1"/>
  <c r="K663" i="5"/>
  <c r="K664" i="5" s="1"/>
  <c r="K665" i="5"/>
  <c r="K666" i="5"/>
  <c r="K667" i="5"/>
  <c r="K668" i="5" s="1"/>
  <c r="K669" i="5" s="1"/>
  <c r="K670" i="5" s="1"/>
  <c r="K671" i="5"/>
  <c r="K672" i="5"/>
  <c r="K673" i="5" s="1"/>
  <c r="K674" i="5" s="1"/>
  <c r="K675" i="5"/>
  <c r="K676" i="5"/>
  <c r="K677" i="5" s="1"/>
  <c r="K678" i="5"/>
  <c r="K679" i="5" s="1"/>
  <c r="K680" i="5"/>
  <c r="K681" i="5" s="1"/>
  <c r="K682" i="5" s="1"/>
  <c r="K683" i="5"/>
  <c r="K684" i="5" s="1"/>
  <c r="K685" i="5" s="1"/>
  <c r="K686" i="5"/>
  <c r="K687" i="5"/>
  <c r="K688" i="5" s="1"/>
  <c r="K689" i="5"/>
  <c r="K690" i="5" s="1"/>
  <c r="K691" i="5"/>
  <c r="K692" i="5" s="1"/>
  <c r="K693" i="5" s="1"/>
  <c r="K694" i="5" s="1"/>
  <c r="K695" i="5"/>
  <c r="K696" i="5" s="1"/>
  <c r="K697" i="5"/>
  <c r="K698" i="5"/>
  <c r="K699" i="5"/>
  <c r="K700" i="5"/>
  <c r="K701" i="5"/>
  <c r="K702" i="5"/>
  <c r="K703" i="5" s="1"/>
  <c r="K704" i="5" s="1"/>
  <c r="K705" i="5" s="1"/>
  <c r="K706" i="5"/>
  <c r="K707" i="5" s="1"/>
  <c r="K708" i="5" s="1"/>
  <c r="K709" i="5"/>
  <c r="K710" i="5" s="1"/>
  <c r="K711" i="5" s="1"/>
  <c r="K712" i="5"/>
  <c r="K713" i="5" s="1"/>
  <c r="K714" i="5" s="1"/>
  <c r="K715" i="5" s="1"/>
  <c r="K716" i="5"/>
  <c r="K717" i="5" s="1"/>
  <c r="K718" i="5" s="1"/>
  <c r="K719" i="5"/>
  <c r="K720" i="5" s="1"/>
  <c r="K721" i="5" s="1"/>
  <c r="K722" i="5" s="1"/>
  <c r="K723" i="5"/>
  <c r="K724" i="5"/>
  <c r="K725" i="5"/>
  <c r="K726" i="5"/>
  <c r="K727" i="5"/>
  <c r="K728" i="5"/>
  <c r="K729" i="5" s="1"/>
  <c r="K730" i="5"/>
  <c r="K731" i="5" s="1"/>
  <c r="K732" i="5" s="1"/>
  <c r="K733" i="5" s="1"/>
  <c r="K734" i="5"/>
  <c r="K735" i="5" s="1"/>
  <c r="K736" i="5"/>
  <c r="K737" i="5" s="1"/>
  <c r="K738" i="5"/>
  <c r="K739" i="5" s="1"/>
  <c r="K740" i="5"/>
  <c r="K741" i="5" s="1"/>
  <c r="K742" i="5" s="1"/>
  <c r="K743" i="5"/>
  <c r="K744" i="5"/>
  <c r="K745" i="5"/>
  <c r="K746" i="5"/>
  <c r="K747" i="5"/>
  <c r="K748" i="5"/>
  <c r="K749" i="5" s="1"/>
  <c r="K750" i="5"/>
  <c r="K751" i="5"/>
  <c r="K752" i="5" s="1"/>
  <c r="K753" i="5"/>
  <c r="K754" i="5"/>
  <c r="K755" i="5"/>
  <c r="K756" i="5" s="1"/>
  <c r="K757" i="5" s="1"/>
  <c r="K758" i="5" s="1"/>
  <c r="K759" i="5"/>
  <c r="K760" i="5" s="1"/>
  <c r="K761" i="5" s="1"/>
  <c r="K762" i="5"/>
  <c r="K763" i="5"/>
  <c r="K764" i="5"/>
  <c r="K765" i="5"/>
  <c r="K766" i="5"/>
  <c r="K767" i="5"/>
  <c r="K768" i="5"/>
  <c r="K769" i="5" s="1"/>
  <c r="K770" i="5" s="1"/>
  <c r="K771" i="5"/>
  <c r="K772" i="5" s="1"/>
  <c r="K773" i="5"/>
  <c r="K774" i="5"/>
  <c r="K775" i="5"/>
  <c r="K776" i="5" s="1"/>
  <c r="K777" i="5" s="1"/>
  <c r="K778" i="5"/>
  <c r="K779" i="5" s="1"/>
  <c r="K780" i="5"/>
  <c r="K781" i="5"/>
  <c r="K782" i="5"/>
  <c r="K783" i="5"/>
  <c r="K784" i="5"/>
  <c r="K785" i="5"/>
  <c r="K786" i="5"/>
  <c r="K787" i="5"/>
  <c r="K788" i="5"/>
  <c r="K789" i="5"/>
  <c r="K790" i="5" s="1"/>
  <c r="K791" i="5" s="1"/>
  <c r="K792" i="5"/>
  <c r="K793" i="5"/>
  <c r="K794" i="5"/>
  <c r="K795" i="5"/>
  <c r="K796" i="5"/>
  <c r="K797" i="5"/>
  <c r="K798" i="5" s="1"/>
  <c r="K799" i="5" s="1"/>
  <c r="K800" i="5"/>
  <c r="K801" i="5" s="1"/>
  <c r="K802" i="5"/>
  <c r="K803" i="5" s="1"/>
  <c r="K804" i="5" s="1"/>
  <c r="K805" i="5"/>
  <c r="K806" i="5"/>
  <c r="K807" i="5"/>
  <c r="K808" i="5"/>
  <c r="K809" i="5"/>
  <c r="K810" i="5"/>
  <c r="K811" i="5"/>
  <c r="K812" i="5"/>
  <c r="K813" i="5"/>
  <c r="K814" i="5"/>
  <c r="K815" i="5" s="1"/>
  <c r="K816" i="5" s="1"/>
  <c r="K817" i="5" s="1"/>
  <c r="K818" i="5"/>
  <c r="K819" i="5" s="1"/>
  <c r="K820" i="5" s="1"/>
  <c r="K821" i="5"/>
  <c r="K822" i="5" s="1"/>
  <c r="K823" i="5" s="1"/>
  <c r="K824" i="5" s="1"/>
  <c r="K825" i="5" s="1"/>
  <c r="K826" i="5"/>
  <c r="K827" i="5" s="1"/>
  <c r="K828" i="5" s="1"/>
  <c r="K829" i="5"/>
  <c r="K830" i="5" s="1"/>
  <c r="K831" i="5" s="1"/>
  <c r="K832" i="5"/>
  <c r="K833" i="5"/>
  <c r="K834" i="5" s="1"/>
  <c r="K835" i="5"/>
  <c r="K836" i="5"/>
  <c r="K837" i="5" s="1"/>
  <c r="K838" i="5"/>
  <c r="K839" i="5"/>
  <c r="K840" i="5"/>
  <c r="K841" i="5"/>
  <c r="K842" i="5"/>
  <c r="K843" i="5"/>
  <c r="K844" i="5"/>
  <c r="K845" i="5"/>
  <c r="K846" i="5"/>
  <c r="K847" i="5"/>
  <c r="K848" i="5"/>
  <c r="K849" i="5"/>
  <c r="K850" i="5" s="1"/>
  <c r="K851" i="5"/>
  <c r="K852" i="5" s="1"/>
  <c r="K853" i="5" s="1"/>
  <c r="K854" i="5"/>
  <c r="K855" i="5" s="1"/>
  <c r="K856" i="5" s="1"/>
  <c r="K857" i="5" s="1"/>
  <c r="K858" i="5"/>
  <c r="K859" i="5" s="1"/>
  <c r="K860" i="5" s="1"/>
  <c r="K861" i="5"/>
  <c r="K862" i="5"/>
  <c r="K863" i="5"/>
  <c r="K864" i="5"/>
  <c r="K865" i="5"/>
  <c r="K866" i="5"/>
  <c r="K867" i="5"/>
  <c r="K868" i="5"/>
  <c r="K869" i="5"/>
  <c r="K870" i="5"/>
  <c r="K871" i="5"/>
  <c r="K872" i="5"/>
  <c r="K873" i="5"/>
  <c r="K874" i="5" s="1"/>
  <c r="K875" i="5" s="1"/>
  <c r="K876" i="5"/>
  <c r="K877" i="5" s="1"/>
  <c r="K878" i="5" s="1"/>
  <c r="K879" i="5" s="1"/>
  <c r="K880" i="5"/>
  <c r="K881" i="5"/>
  <c r="K2" i="5"/>
  <c r="M8" i="5"/>
  <c r="M7" i="5"/>
  <c r="M4" i="5"/>
  <c r="H612" i="5"/>
  <c r="H399" i="5"/>
  <c r="H358" i="5"/>
  <c r="H355" i="5"/>
  <c r="H338" i="5"/>
  <c r="H333" i="5"/>
  <c r="H317" i="5"/>
  <c r="H307" i="5"/>
  <c r="H284" i="5"/>
  <c r="H266" i="5"/>
  <c r="H259" i="5"/>
  <c r="H239" i="5"/>
  <c r="H235" i="5"/>
  <c r="H212" i="5"/>
  <c r="H205" i="5"/>
  <c r="H171" i="5"/>
  <c r="N6" i="7" s="1"/>
  <c r="H151" i="5"/>
  <c r="H144" i="5"/>
  <c r="H104" i="5"/>
  <c r="H77" i="5"/>
  <c r="H59" i="5"/>
  <c r="H57" i="5"/>
  <c r="H30" i="5"/>
  <c r="H20" i="5"/>
  <c r="H6" i="5"/>
  <c r="M5" i="5"/>
  <c r="O26" i="7"/>
  <c r="O25" i="7"/>
  <c r="P26" i="7"/>
  <c r="P25" i="7"/>
  <c r="N26" i="7"/>
  <c r="N25" i="7"/>
  <c r="O19" i="7"/>
  <c r="O18" i="7"/>
  <c r="O17" i="7"/>
  <c r="N19" i="7"/>
  <c r="N18" i="7"/>
  <c r="N17" i="7"/>
  <c r="P17" i="7"/>
  <c r="P19" i="7"/>
  <c r="P18" i="7"/>
  <c r="M5" i="7"/>
  <c r="M11" i="7"/>
  <c r="M10" i="7"/>
  <c r="M9" i="7"/>
  <c r="M8" i="7"/>
  <c r="M7" i="7"/>
  <c r="M6" i="7"/>
  <c r="Q387" i="5"/>
  <c r="Q386" i="5"/>
  <c r="Q382" i="5"/>
  <c r="Q381" i="5"/>
  <c r="R382" i="5"/>
  <c r="R381" i="5"/>
  <c r="D3" i="8" l="1"/>
  <c r="N12" i="7"/>
  <c r="M9" i="5"/>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2" i="3"/>
  <c r="J248" i="5"/>
  <c r="J249" i="5" s="1"/>
  <c r="J250" i="5" s="1"/>
  <c r="J246" i="5"/>
  <c r="J243" i="5"/>
  <c r="J244" i="5" s="1"/>
  <c r="J229" i="5"/>
  <c r="J230" i="5" s="1"/>
  <c r="J231" i="5" s="1"/>
  <c r="J224" i="5"/>
  <c r="J219" i="5"/>
  <c r="J220" i="5" s="1"/>
  <c r="J221" i="5" s="1"/>
  <c r="J216" i="5"/>
  <c r="J217" i="5" s="1"/>
  <c r="J214" i="5"/>
  <c r="J202" i="5"/>
  <c r="J200" i="5"/>
  <c r="J197" i="5"/>
  <c r="J198" i="5" s="1"/>
  <c r="J192" i="5"/>
  <c r="J193" i="5" s="1"/>
  <c r="J194" i="5" s="1"/>
  <c r="J189" i="5"/>
  <c r="J186" i="5"/>
  <c r="J187" i="5" s="1"/>
  <c r="J183" i="5"/>
  <c r="J181" i="5"/>
  <c r="J178" i="5"/>
  <c r="J179" i="5" s="1"/>
  <c r="J165" i="5"/>
  <c r="J166" i="5" s="1"/>
  <c r="J167" i="5" s="1"/>
  <c r="J163" i="5"/>
  <c r="J161" i="5"/>
  <c r="J159" i="5"/>
  <c r="J157" i="5"/>
  <c r="J153" i="5"/>
  <c r="J154" i="5" s="1"/>
  <c r="J155" i="5" s="1"/>
  <c r="J139" i="5"/>
  <c r="J140" i="5" s="1"/>
  <c r="J136" i="5"/>
  <c r="J137" i="5" s="1"/>
  <c r="J134" i="5"/>
  <c r="J131" i="5"/>
  <c r="J132" i="5" s="1"/>
  <c r="J125" i="5"/>
  <c r="J126" i="5" s="1"/>
  <c r="J127" i="5" s="1"/>
  <c r="J128" i="5" s="1"/>
  <c r="J123" i="5"/>
  <c r="J120" i="5"/>
  <c r="J121" i="5" s="1"/>
  <c r="J115" i="5"/>
  <c r="J116" i="5" s="1"/>
  <c r="J117" i="5" s="1"/>
  <c r="J118" i="5" s="1"/>
  <c r="J112" i="5"/>
  <c r="J113" i="5" s="1"/>
  <c r="J109" i="5"/>
  <c r="J98" i="5"/>
  <c r="J99" i="5" s="1"/>
  <c r="J94" i="5"/>
  <c r="J95" i="5" s="1"/>
  <c r="J91" i="5"/>
  <c r="J92" i="5" s="1"/>
  <c r="J89" i="5"/>
  <c r="J86" i="5"/>
  <c r="J87" i="5" s="1"/>
  <c r="J84" i="5"/>
  <c r="J72" i="5"/>
  <c r="J73" i="5" s="1"/>
  <c r="J69" i="5"/>
  <c r="J66" i="5"/>
  <c r="J67" i="5" s="1"/>
  <c r="J64" i="5"/>
  <c r="J61" i="5"/>
  <c r="J47" i="5"/>
  <c r="J44" i="5"/>
  <c r="J45" i="5" s="1"/>
  <c r="J39" i="5"/>
  <c r="J40" i="5" s="1"/>
  <c r="J12" i="5"/>
  <c r="C41" i="3"/>
  <c r="C38" i="3"/>
  <c r="C37" i="3"/>
  <c r="C33" i="3"/>
  <c r="B27" i="3"/>
  <c r="C22" i="3"/>
  <c r="C86" i="3"/>
  <c r="C75" i="3"/>
  <c r="C72" i="3"/>
  <c r="B3" i="2"/>
  <c r="C3" i="2"/>
  <c r="D3" i="2"/>
  <c r="E3" i="2"/>
  <c r="B4" i="2"/>
  <c r="C4" i="2"/>
  <c r="D4" i="2"/>
  <c r="E4" i="2"/>
  <c r="B5" i="2"/>
  <c r="C5" i="2"/>
  <c r="D5" i="2"/>
  <c r="E5" i="2"/>
  <c r="B6" i="2"/>
  <c r="C6" i="2"/>
  <c r="D6" i="2"/>
  <c r="E6" i="2"/>
  <c r="B7" i="2"/>
  <c r="C7" i="2"/>
  <c r="D7" i="2"/>
  <c r="E7" i="2"/>
  <c r="B8" i="2"/>
  <c r="C8" i="2"/>
  <c r="D8" i="2"/>
  <c r="E8" i="2"/>
  <c r="B9" i="2"/>
  <c r="C9" i="2"/>
  <c r="D9" i="2"/>
  <c r="E9" i="2"/>
  <c r="B10" i="2"/>
  <c r="C10" i="2"/>
  <c r="D10" i="2"/>
  <c r="E10" i="2"/>
  <c r="B11" i="2"/>
  <c r="C11" i="2"/>
  <c r="D11" i="2"/>
  <c r="E11" i="2"/>
  <c r="B12" i="2"/>
  <c r="C12" i="2"/>
  <c r="D12" i="2"/>
  <c r="E12" i="2"/>
  <c r="B13" i="2"/>
  <c r="C13" i="2"/>
  <c r="D13" i="2"/>
  <c r="E13" i="2"/>
  <c r="B14" i="2"/>
  <c r="C14" i="2"/>
  <c r="D14" i="2"/>
  <c r="E14" i="2"/>
  <c r="B15" i="2"/>
  <c r="C15" i="2"/>
  <c r="D15" i="2"/>
  <c r="E15" i="2"/>
  <c r="B16" i="2"/>
  <c r="C16" i="2"/>
  <c r="D16" i="2"/>
  <c r="E16" i="2"/>
  <c r="B17" i="2"/>
  <c r="C17" i="2"/>
  <c r="D17" i="2"/>
  <c r="E17" i="2"/>
  <c r="B18" i="2"/>
  <c r="C18" i="2"/>
  <c r="D18" i="2"/>
  <c r="E18" i="2"/>
  <c r="B19" i="2"/>
  <c r="C19" i="2"/>
  <c r="D19" i="2"/>
  <c r="E19" i="2"/>
  <c r="B20" i="2"/>
  <c r="C20" i="2"/>
  <c r="D20" i="2"/>
  <c r="E20" i="2"/>
  <c r="B21" i="2"/>
  <c r="C21" i="2"/>
  <c r="D21" i="2"/>
  <c r="E21" i="2"/>
  <c r="B22" i="2"/>
  <c r="C22" i="2"/>
  <c r="D22" i="2"/>
  <c r="E22" i="2"/>
  <c r="B23" i="2"/>
  <c r="C23" i="2"/>
  <c r="D23" i="2"/>
  <c r="E23" i="2"/>
  <c r="B24" i="2"/>
  <c r="C24" i="2"/>
  <c r="D24" i="2"/>
  <c r="E24" i="2"/>
  <c r="B25" i="2"/>
  <c r="C25" i="2"/>
  <c r="D25" i="2"/>
  <c r="E25" i="2"/>
  <c r="B26" i="2"/>
  <c r="C26" i="2"/>
  <c r="D26" i="2"/>
  <c r="E26" i="2"/>
  <c r="B27" i="2"/>
  <c r="C27" i="2"/>
  <c r="D27" i="2"/>
  <c r="E27" i="2"/>
  <c r="B28" i="2"/>
  <c r="C28" i="2"/>
  <c r="D28" i="2"/>
  <c r="E28" i="2"/>
  <c r="B29" i="2"/>
  <c r="C29" i="2"/>
  <c r="D29" i="2"/>
  <c r="E29" i="2"/>
  <c r="B30" i="2"/>
  <c r="C30" i="2"/>
  <c r="D30" i="2"/>
  <c r="E30" i="2"/>
  <c r="B31" i="2"/>
  <c r="C31" i="2"/>
  <c r="D31" i="2"/>
  <c r="E31" i="2"/>
  <c r="B32" i="2"/>
  <c r="C32" i="2"/>
  <c r="D32" i="2"/>
  <c r="E32" i="2"/>
  <c r="B33" i="2"/>
  <c r="C33" i="2"/>
  <c r="D33" i="2"/>
  <c r="E33" i="2"/>
  <c r="B34" i="2"/>
  <c r="C34" i="2"/>
  <c r="D34" i="2"/>
  <c r="E34" i="2"/>
  <c r="B35" i="2"/>
  <c r="C35" i="2"/>
  <c r="D35" i="2"/>
  <c r="E35" i="2"/>
  <c r="B36" i="2"/>
  <c r="C36" i="2"/>
  <c r="D36" i="2"/>
  <c r="E36" i="2"/>
  <c r="B37" i="2"/>
  <c r="C37" i="2"/>
  <c r="D37" i="2"/>
  <c r="E37" i="2"/>
  <c r="B38" i="2"/>
  <c r="C38" i="2"/>
  <c r="D38" i="2"/>
  <c r="E38" i="2"/>
  <c r="B39" i="2"/>
  <c r="C39" i="2"/>
  <c r="D39" i="2"/>
  <c r="E39" i="2"/>
  <c r="B40" i="2"/>
  <c r="C40" i="2"/>
  <c r="D40" i="2"/>
  <c r="E40" i="2"/>
  <c r="B41" i="2"/>
  <c r="C41" i="2"/>
  <c r="D41" i="2"/>
  <c r="E41" i="2"/>
  <c r="B42" i="2"/>
  <c r="C42" i="2"/>
  <c r="D42" i="2"/>
  <c r="E42" i="2"/>
  <c r="B43" i="2"/>
  <c r="C43" i="2"/>
  <c r="D43" i="2"/>
  <c r="E43" i="2"/>
  <c r="B44" i="2"/>
  <c r="C44" i="2"/>
  <c r="D44" i="2"/>
  <c r="E44" i="2"/>
  <c r="B45" i="2"/>
  <c r="C45" i="2"/>
  <c r="D45" i="2"/>
  <c r="E45" i="2"/>
  <c r="B46" i="2"/>
  <c r="C46" i="2"/>
  <c r="D46" i="2"/>
  <c r="E46" i="2"/>
  <c r="B47" i="2"/>
  <c r="C47" i="2"/>
  <c r="D47" i="2"/>
  <c r="E47" i="2"/>
  <c r="B48" i="2"/>
  <c r="C48" i="2"/>
  <c r="D48" i="2"/>
  <c r="E48" i="2"/>
  <c r="B49" i="2"/>
  <c r="C49" i="2"/>
  <c r="D49" i="2"/>
  <c r="E49" i="2"/>
  <c r="B50" i="2"/>
  <c r="C50" i="2"/>
  <c r="D50" i="2"/>
  <c r="E50" i="2"/>
  <c r="B51" i="2"/>
  <c r="C51" i="2"/>
  <c r="D51" i="2"/>
  <c r="E51" i="2"/>
  <c r="B52" i="2"/>
  <c r="C52" i="2"/>
  <c r="D52" i="2"/>
  <c r="E52" i="2"/>
  <c r="B53" i="2"/>
  <c r="C53" i="2"/>
  <c r="D53" i="2"/>
  <c r="E53" i="2"/>
  <c r="B54" i="2"/>
  <c r="C54" i="2"/>
  <c r="D54" i="2"/>
  <c r="E54" i="2"/>
  <c r="B55" i="2"/>
  <c r="C55" i="2"/>
  <c r="D55" i="2"/>
  <c r="E55" i="2"/>
  <c r="B56" i="2"/>
  <c r="C56" i="2"/>
  <c r="D56" i="2"/>
  <c r="E56" i="2"/>
  <c r="B57" i="2"/>
  <c r="C57" i="2"/>
  <c r="D57" i="2"/>
  <c r="E57" i="2"/>
  <c r="B58" i="2"/>
  <c r="C58" i="2"/>
  <c r="D58" i="2"/>
  <c r="E58" i="2"/>
  <c r="B59" i="2"/>
  <c r="C59" i="2"/>
  <c r="D59" i="2"/>
  <c r="E59" i="2"/>
  <c r="B60" i="2"/>
  <c r="C60" i="2"/>
  <c r="D60" i="2"/>
  <c r="E60" i="2"/>
  <c r="B61" i="2"/>
  <c r="C61" i="2"/>
  <c r="D61" i="2"/>
  <c r="E61" i="2"/>
  <c r="B62" i="2"/>
  <c r="C62" i="2"/>
  <c r="D62" i="2"/>
  <c r="E62" i="2"/>
  <c r="B63" i="2"/>
  <c r="C63" i="2"/>
  <c r="D63" i="2"/>
  <c r="E63" i="2"/>
  <c r="B64" i="2"/>
  <c r="C64" i="2"/>
  <c r="D64" i="2"/>
  <c r="E64" i="2"/>
  <c r="B65" i="2"/>
  <c r="C65" i="2"/>
  <c r="D65" i="2"/>
  <c r="E65" i="2"/>
  <c r="B66" i="2"/>
  <c r="C66" i="2"/>
  <c r="D66" i="2"/>
  <c r="E66" i="2"/>
  <c r="B67" i="2"/>
  <c r="C67" i="2"/>
  <c r="D67" i="2"/>
  <c r="E67" i="2"/>
  <c r="B68" i="2"/>
  <c r="C68" i="2"/>
  <c r="D68" i="2"/>
  <c r="E68" i="2"/>
  <c r="B69" i="2"/>
  <c r="C69" i="2"/>
  <c r="D69" i="2"/>
  <c r="E69" i="2"/>
  <c r="B70" i="2"/>
  <c r="C70" i="2"/>
  <c r="D70" i="2"/>
  <c r="E70" i="2"/>
  <c r="B71" i="2"/>
  <c r="C71" i="2"/>
  <c r="D71" i="2"/>
  <c r="E71" i="2"/>
  <c r="B72" i="2"/>
  <c r="C72" i="2"/>
  <c r="D72" i="2"/>
  <c r="E72" i="2"/>
  <c r="B73" i="2"/>
  <c r="C73" i="2"/>
  <c r="D73" i="2"/>
  <c r="E73" i="2"/>
  <c r="B74" i="2"/>
  <c r="C74" i="2"/>
  <c r="D74" i="2"/>
  <c r="E74" i="2"/>
  <c r="B75" i="2"/>
  <c r="C75" i="2"/>
  <c r="D75" i="2"/>
  <c r="E75" i="2"/>
  <c r="B76" i="2"/>
  <c r="C76" i="2"/>
  <c r="D76" i="2"/>
  <c r="E76" i="2"/>
  <c r="B77" i="2"/>
  <c r="C77" i="2"/>
  <c r="D77" i="2"/>
  <c r="E77" i="2"/>
  <c r="B78" i="2"/>
  <c r="C78" i="2"/>
  <c r="D78" i="2"/>
  <c r="E78" i="2"/>
  <c r="B79" i="2"/>
  <c r="C79" i="2"/>
  <c r="D79" i="2"/>
  <c r="E79" i="2"/>
  <c r="B80" i="2"/>
  <c r="C80" i="2"/>
  <c r="D80" i="2"/>
  <c r="E80" i="2"/>
  <c r="B81" i="2"/>
  <c r="C81" i="2"/>
  <c r="D81" i="2"/>
  <c r="E81" i="2"/>
  <c r="B82" i="2"/>
  <c r="C82" i="2"/>
  <c r="D82" i="2"/>
  <c r="E82" i="2"/>
  <c r="B83" i="2"/>
  <c r="C83" i="2"/>
  <c r="D83" i="2"/>
  <c r="E83" i="2"/>
  <c r="B84" i="2"/>
  <c r="C84" i="2"/>
  <c r="D84" i="2"/>
  <c r="E84" i="2"/>
  <c r="B85" i="2"/>
  <c r="C85" i="2"/>
  <c r="D85" i="2"/>
  <c r="E85" i="2"/>
  <c r="B86" i="2"/>
  <c r="C86" i="2"/>
  <c r="D86" i="2"/>
  <c r="E86" i="2"/>
  <c r="B87" i="2"/>
  <c r="C87" i="2"/>
  <c r="D87" i="2"/>
  <c r="E87" i="2"/>
  <c r="B88" i="2"/>
  <c r="C88" i="2"/>
  <c r="D88" i="2"/>
  <c r="E88" i="2"/>
  <c r="B89" i="2"/>
  <c r="C89" i="2"/>
  <c r="D89" i="2"/>
  <c r="E89" i="2"/>
  <c r="B90" i="2"/>
  <c r="C90" i="2"/>
  <c r="D90" i="2"/>
  <c r="E90" i="2"/>
  <c r="B91" i="2"/>
  <c r="C91" i="2"/>
  <c r="D91" i="2"/>
  <c r="E91" i="2"/>
  <c r="B92" i="2"/>
  <c r="C92" i="2"/>
  <c r="D92" i="2"/>
  <c r="E92" i="2"/>
  <c r="B93" i="2"/>
  <c r="C93" i="2"/>
  <c r="D93" i="2"/>
  <c r="E93" i="2"/>
  <c r="B94" i="2"/>
  <c r="C94" i="2"/>
  <c r="D94" i="2"/>
  <c r="E94" i="2"/>
  <c r="B95" i="2"/>
  <c r="C95" i="2"/>
  <c r="D95" i="2"/>
  <c r="E95" i="2"/>
  <c r="B96" i="2"/>
  <c r="C96" i="2"/>
  <c r="D96" i="2"/>
  <c r="E96" i="2"/>
  <c r="B97" i="2"/>
  <c r="C97" i="2"/>
  <c r="D97" i="2"/>
  <c r="E97" i="2"/>
  <c r="B98" i="2"/>
  <c r="C98" i="2"/>
  <c r="D98" i="2"/>
  <c r="E98" i="2"/>
  <c r="B99" i="2"/>
  <c r="C99" i="2"/>
  <c r="D99" i="2"/>
  <c r="E99" i="2"/>
  <c r="B100" i="2"/>
  <c r="C100" i="2"/>
  <c r="D100" i="2"/>
  <c r="E100" i="2"/>
  <c r="B101" i="2"/>
  <c r="C101" i="2"/>
  <c r="D101" i="2"/>
  <c r="E101" i="2"/>
  <c r="B102" i="2"/>
  <c r="C102" i="2"/>
  <c r="D102" i="2"/>
  <c r="E102" i="2"/>
  <c r="B103" i="2"/>
  <c r="C103" i="2"/>
  <c r="D103" i="2"/>
  <c r="E103" i="2"/>
  <c r="B104" i="2"/>
  <c r="C104" i="2"/>
  <c r="D104" i="2"/>
  <c r="E104" i="2"/>
  <c r="B105" i="2"/>
  <c r="C105" i="2"/>
  <c r="D105" i="2"/>
  <c r="E105" i="2"/>
  <c r="B106" i="2"/>
  <c r="C106" i="2"/>
  <c r="D106" i="2"/>
  <c r="E106" i="2"/>
  <c r="B107" i="2"/>
  <c r="C107" i="2"/>
  <c r="D107" i="2"/>
  <c r="E107" i="2"/>
  <c r="B108" i="2"/>
  <c r="C108" i="2"/>
  <c r="D108" i="2"/>
  <c r="E108" i="2"/>
  <c r="B109" i="2"/>
  <c r="C109" i="2"/>
  <c r="D109" i="2"/>
  <c r="E109" i="2"/>
  <c r="B110" i="2"/>
  <c r="C110" i="2"/>
  <c r="D110" i="2"/>
  <c r="E110" i="2"/>
  <c r="B111" i="2"/>
  <c r="C111" i="2"/>
  <c r="D111" i="2"/>
  <c r="E111" i="2"/>
  <c r="B112" i="2"/>
  <c r="C112" i="2"/>
  <c r="D112" i="2"/>
  <c r="E112" i="2"/>
  <c r="B113" i="2"/>
  <c r="C113" i="2"/>
  <c r="D113" i="2"/>
  <c r="E113" i="2"/>
  <c r="B114" i="2"/>
  <c r="C114" i="2"/>
  <c r="D114" i="2"/>
  <c r="E114" i="2"/>
  <c r="B115" i="2"/>
  <c r="C115" i="2"/>
  <c r="D115" i="2"/>
  <c r="E115" i="2"/>
  <c r="B116" i="2"/>
  <c r="C116" i="2"/>
  <c r="D116" i="2"/>
  <c r="E116" i="2"/>
  <c r="B117" i="2"/>
  <c r="C117" i="2"/>
  <c r="D117" i="2"/>
  <c r="E117" i="2"/>
  <c r="B118" i="2"/>
  <c r="C118" i="2"/>
  <c r="D118" i="2"/>
  <c r="E118" i="2"/>
  <c r="B119" i="2"/>
  <c r="C119" i="2"/>
  <c r="D119" i="2"/>
  <c r="E119" i="2"/>
  <c r="B120" i="2"/>
  <c r="C120" i="2"/>
  <c r="D120" i="2"/>
  <c r="E120" i="2"/>
  <c r="E2" i="2"/>
  <c r="D2" i="2"/>
  <c r="C2" i="2"/>
  <c r="B2" i="2"/>
  <c r="D286" i="1"/>
  <c r="D285" i="1"/>
  <c r="C277" i="1"/>
  <c r="C276" i="1"/>
  <c r="C275" i="1"/>
  <c r="C272" i="1"/>
  <c r="C271" i="1"/>
  <c r="C270" i="1"/>
  <c r="C269" i="1"/>
  <c r="C280" i="1"/>
  <c r="C283" i="1"/>
  <c r="C282" i="1"/>
  <c r="C281" i="1"/>
  <c r="C292" i="1"/>
  <c r="C291" i="1"/>
  <c r="C290" i="1"/>
  <c r="C289" i="1"/>
  <c r="D4" i="8" l="1"/>
  <c r="E4" i="8"/>
  <c r="J13" i="5"/>
  <c r="M10" i="5"/>
  <c r="D5" i="8" l="1"/>
  <c r="E5" i="8"/>
  <c r="M6" i="5"/>
  <c r="D6" i="8" l="1"/>
  <c r="E6" i="8"/>
  <c r="D7" i="8" l="1"/>
  <c r="E7" i="8"/>
  <c r="D8" i="8" l="1"/>
  <c r="E8" i="8"/>
  <c r="D9" i="8" l="1"/>
  <c r="E9" i="8"/>
  <c r="D10" i="8" l="1"/>
  <c r="E10" i="8"/>
  <c r="D11" i="8" l="1"/>
  <c r="E11" i="8"/>
  <c r="D12" i="8" l="1"/>
  <c r="E12" i="8"/>
  <c r="D13" i="8" l="1"/>
  <c r="E13" i="8"/>
  <c r="D14" i="8" l="1"/>
  <c r="E14" i="8"/>
  <c r="D15" i="8" l="1"/>
  <c r="E15" i="8"/>
  <c r="D16" i="8" l="1"/>
  <c r="E16" i="8"/>
  <c r="D17" i="8" l="1"/>
  <c r="E17" i="8"/>
  <c r="D18" i="8" l="1"/>
  <c r="E18" i="8"/>
  <c r="D19" i="8" l="1"/>
  <c r="E19" i="8"/>
  <c r="D20" i="8" l="1"/>
  <c r="E20" i="8"/>
  <c r="D21" i="8" l="1"/>
  <c r="E21" i="8"/>
  <c r="D22" i="8" l="1"/>
  <c r="E22" i="8"/>
  <c r="D23" i="8" l="1"/>
  <c r="E23" i="8"/>
  <c r="D24" i="8" l="1"/>
  <c r="E24" i="8"/>
  <c r="D25" i="8" l="1"/>
  <c r="E25" i="8"/>
  <c r="D26" i="8" l="1"/>
  <c r="E26" i="8"/>
  <c r="D27" i="8" l="1"/>
  <c r="E27" i="8"/>
  <c r="D28" i="8" l="1"/>
  <c r="E28" i="8"/>
  <c r="D29" i="8" l="1"/>
  <c r="E29" i="8"/>
  <c r="D30" i="8" l="1"/>
  <c r="E30" i="8"/>
  <c r="D31" i="8" l="1"/>
  <c r="E31" i="8"/>
  <c r="D32" i="8" l="1"/>
  <c r="E32" i="8"/>
  <c r="D33" i="8" l="1"/>
  <c r="E33" i="8"/>
  <c r="D34" i="8" l="1"/>
  <c r="E34" i="8"/>
  <c r="D35" i="8" l="1"/>
  <c r="E35" i="8"/>
  <c r="D36" i="8" l="1"/>
  <c r="E36" i="8"/>
  <c r="D37" i="8" l="1"/>
  <c r="E37" i="8"/>
  <c r="D38" i="8" l="1"/>
  <c r="E38" i="8"/>
  <c r="D39" i="8" l="1"/>
  <c r="E39" i="8"/>
  <c r="D40" i="8" l="1"/>
  <c r="E40" i="8"/>
  <c r="D41" i="8" l="1"/>
  <c r="E41" i="8"/>
  <c r="D42" i="8" l="1"/>
  <c r="E42" i="8"/>
  <c r="D43" i="8" l="1"/>
  <c r="E43" i="8"/>
  <c r="D44" i="8" l="1"/>
  <c r="E44" i="8"/>
  <c r="D45" i="8" l="1"/>
  <c r="E45" i="8"/>
  <c r="D46" i="8" l="1"/>
  <c r="E46" i="8"/>
  <c r="D47" i="8" l="1"/>
  <c r="E47" i="8"/>
  <c r="D48" i="8" l="1"/>
  <c r="E48" i="8"/>
  <c r="D49" i="8" l="1"/>
  <c r="E49" i="8"/>
</calcChain>
</file>

<file path=xl/sharedStrings.xml><?xml version="1.0" encoding="utf-8"?>
<sst xmlns="http://schemas.openxmlformats.org/spreadsheetml/2006/main" count="6440" uniqueCount="1455">
  <si>
    <t>DishID</t>
  </si>
  <si>
    <t>DishName</t>
  </si>
  <si>
    <t>Category(Breakfast/Lunch/Dinner/Snack)</t>
  </si>
  <si>
    <t>Classification(Veg/Non-veg/Beverage)</t>
  </si>
  <si>
    <t>PreparationTime(hr:min)</t>
  </si>
  <si>
    <t>SellingPrice(Rupees)</t>
  </si>
  <si>
    <t>Ingredients (Per Serving)</t>
  </si>
  <si>
    <t>Description</t>
  </si>
  <si>
    <t>Speed of Preparation</t>
  </si>
  <si>
    <t>VadaKulambu</t>
  </si>
  <si>
    <t>Lunch</t>
  </si>
  <si>
    <t>Veg</t>
  </si>
  <si>
    <t>Gram dal,Toor dal, Tamarind,Onion,Tomato,Sambar powder,Turmeric powder,Mustard seeds,Curry leaves,Asafoetida,Oil,Salt,Coriander leaves</t>
  </si>
  <si>
    <t>250ml with 2 no.s vada</t>
  </si>
  <si>
    <t>Medium</t>
  </si>
  <si>
    <t>VathaKulambu</t>
  </si>
  <si>
    <t>Quick</t>
  </si>
  <si>
    <t>SemiyaKichadi</t>
  </si>
  <si>
    <t>Dinner</t>
  </si>
  <si>
    <t>Vermicelli (semiya),Mixed vegetables (carrot, beans, peas, potato),Onion,Green chillies,Ginger,Cashews,Ghee,Mustard seeds,Urad dal,Chana dal,Curry leaves,Salt</t>
  </si>
  <si>
    <t>500 ml with 100 ml of chutney</t>
  </si>
  <si>
    <t>Breakfast</t>
  </si>
  <si>
    <t>Snacks</t>
  </si>
  <si>
    <t>Idlywithsambharandchutney</t>
  </si>
  <si>
    <t>Idli rice,Urad dal,Fenugreek seeds,Salt,Toor dal,Tamarind,Drumstick, carrot, tomato, onion,Sambar powder,Turmeric powder,Mustard seeds,Curry leaves,Asafoetida,Oil,Salt,Coconut,Roasted gram dal,Green chillies,Ginger</t>
  </si>
  <si>
    <t>3 no.s idli with 100 ml sambhar and chutney</t>
  </si>
  <si>
    <t>Slow</t>
  </si>
  <si>
    <t>VegBiryani</t>
  </si>
  <si>
    <t>Basmati rice, Mixed vegetables (carrot, beans, potato, cauliflower, peas), Onion, Tomato, Yogurt, Ginger-garlic paste, Green chillies, Mint leaves, Coriander leaves, Biryani masala, Turmeric powder, Red chilli powder, Whole spices (bay leaf, cinnamon, cloves, cardamom), Ghee, Oil, Salt</t>
  </si>
  <si>
    <t>750ml veg biryani with seeraga sambha rice wih 100 ml raita</t>
  </si>
  <si>
    <t>PotatoThokku</t>
  </si>
  <si>
    <t>Potato, Onion, Tomato, Ginger-garlic paste, Green chillies, Red chilli powder, Turmeric powder, Coriander powder, Cumin powder, Curry leaves, Mustard seeds, Oil, Salt, Coriander leaves</t>
  </si>
  <si>
    <t>250ml of potato thokku</t>
  </si>
  <si>
    <t>Eggfry</t>
  </si>
  <si>
    <t>Non-veg</t>
  </si>
  <si>
    <t>Eggs, Onion, Green chillies, Turmeric powder, Red chilli powder, Pepper powder, Curry leaves, Oil, Salt</t>
  </si>
  <si>
    <t>3 no.s of egg tawa fry</t>
  </si>
  <si>
    <t>Gobi65</t>
  </si>
  <si>
    <t>Cauliflower,Corn flour, All-purpose flour, Ginger-garlic paste, Red chilli powder, Turmeric powder, Garam masala, Curry leaves, Green chillies, Yogurt, Oil for frying, Salt</t>
  </si>
  <si>
    <t>500ml of Gobi 65 with cut onions</t>
  </si>
  <si>
    <t>Cauliflower, Corn flour, All-purpose flour, Ginger-garlic paste, Red chilli powder, Turmeric powder, Garam masala, Curry leaves, Green chillies, Yogurt, Oil for frying, Salt</t>
  </si>
  <si>
    <t>Coconutricewithpotatothokku</t>
  </si>
  <si>
    <t>Cooked rice, Coconut (grated), Cashews, Peanuts, Green chillies, Ginger, Curry leaves, Mustard seeds, Urad dal, Chana dal, Asafoetida, Oil, Salt</t>
  </si>
  <si>
    <t>500ml of coconut rice with 100ml potato thokku</t>
  </si>
  <si>
    <t>WhiteRice</t>
  </si>
  <si>
    <t>Raw rice,Water,Salt</t>
  </si>
  <si>
    <t>1000ml of boiled rice</t>
  </si>
  <si>
    <t>CurdRicewithPotatothokku</t>
  </si>
  <si>
    <t>Cooked rice, Curd, Milk, Cucumber (optional), Ginger, Green chillies, Curry leaves, Mustard seeds, Urad dal, Asafoetida, Oil, Salt, Potato, Onion, Tomato, Ginger-garlic paste, Red chilli powder, Turmeric powder, Coriander powder, Cumin powder, Coriander leaves</t>
  </si>
  <si>
    <t>500ml curd rice with 100ml potato thokku</t>
  </si>
  <si>
    <t>Parupputhakkalikadayal</t>
  </si>
  <si>
    <t>Toor dal, Tomato, Onion, Green chillies, Turmeric powder, Cumin seeds, Garlic, Curry leaves, Mustard seeds, Asafoetida, Ghee/Oil, Salt</t>
  </si>
  <si>
    <t>250ml of paruppu thakkali kadayal</t>
  </si>
  <si>
    <t>Sakkaraipongal</t>
  </si>
  <si>
    <t>Raw rice, Moong dal, Jaggery, Ghee, Cashews, Raisins, Cardamom powder, Dry ginger powder</t>
  </si>
  <si>
    <t>250ml of delicious sweet pongal made with ghee</t>
  </si>
  <si>
    <t>Vendakkaikarakozhambu</t>
  </si>
  <si>
    <t>Okra (vendakkai), Tamarind, Onion, Tomato, Sambar powder, Red chilli powder, Turmeric powder, Mustard seeds, Fenugreek seeds, Curry leaves, Asafoetida, Oil, Salt</t>
  </si>
  <si>
    <t>250ml of vendakai kara kozhambu</t>
  </si>
  <si>
    <t>Lemonricewithpotatothokku</t>
  </si>
  <si>
    <t>Cooked rice, Lemon juice, Peanuts, Cashews, Green chillies, Ginger, Turmeric powder, Curry leaves, Mustard seeds, Urad dal, Chana dal, Asafoetida, Oil, Salt, Potato, Onion, Tomato, Ginger-garlic paste, Red chilli powder, Coriander powder, Cumin powder, Coriander leaves</t>
  </si>
  <si>
    <t>500ml of Lemon rice with 100ml potato thokku</t>
  </si>
  <si>
    <t>Fishfry</t>
  </si>
  <si>
    <t>Fish pieces, Red chilli powder, Turmeric powder, Coriander powder, Ginger-garlic paste, Lemon juice, Curry leaves, Oil for frying, Salt</t>
  </si>
  <si>
    <t>2 no.s of any seasonal fish fry paarai/naaku/seela</t>
  </si>
  <si>
    <t>VendakkaiPoriyal</t>
  </si>
  <si>
    <t>Okra (vendakkai), Onion, Green chillies, Turmeric powder, Mustard seeds, Urad dal, Curry leaves, Grated coconut (optional), Oil, Salt</t>
  </si>
  <si>
    <t>250ml of vendakkai poriyal</t>
  </si>
  <si>
    <t>Iralsurakkaikolambu</t>
  </si>
  <si>
    <t>Bottle gourd (surakkai)
Prawns (iral)
Tamarind
Onion
Tomato
Sambar powder/kuzhambu powder
Turmeric powder
Mustard seeds
Fenugreek seeds
Curry leaves
Oil
Salt</t>
  </si>
  <si>
    <t>250ml of Iral surakkai kolambu</t>
  </si>
  <si>
    <t>Rasam</t>
  </si>
  <si>
    <t>Toor dal, Tamarind, Tomato, Rasam powder, Turmeric powder, Pepper, Cumin seeds, Garlic, Curry leaves, Mustard seeds, Asafoetida, Ghee/Oil, Salt, Coriander leaves</t>
  </si>
  <si>
    <t>250ml of milagu rasam</t>
  </si>
  <si>
    <t>Vegetablekootu</t>
  </si>
  <si>
    <t>Mixed vegetables (chayote/carrot/beans)
Moong dal/chana dal
Coconut
Cumin seeds
Green chillies
Turmeric powder
Curry leaves
Mustard seeds
Urad dal
Oil
Salt</t>
  </si>
  <si>
    <t>250mlof any vegetable kootu</t>
  </si>
  <si>
    <t>Sambar</t>
  </si>
  <si>
    <t>Toor dal, Tamarind, Mixed vegetables (drumstick, carrot, onion, tomato), Sambar powder, Turmeric powder, Mustard seeds, Fenugreek seeds, Curry leaves, Asafoetida, Oil, Salt</t>
  </si>
  <si>
    <t>250ml of any vegetable sambar</t>
  </si>
  <si>
    <t>Vegetableporiyal</t>
  </si>
  <si>
    <t>ChatGPT said:
Mixed vegetables (beans/carrot/cabbage), Onion, Green chillies, Turmeric powder, Mustard seeds, Urad dal, Curry leaves, Grated coconut, Oil, Salt</t>
  </si>
  <si>
    <t>250ml of any vegetable poriyal</t>
  </si>
  <si>
    <t>Meals</t>
  </si>
  <si>
    <t>Raw rice, Water, Salt, Toor dal, Tamarind, Tomato, Rasam powder, Turmeric powder, Pepper, Cumin seeds, Garlic, Curry leaves, Mustard seeds, Asafoetida, Ghee/Oil, Coriander leaves, Mixed vegetables (beans/carrot/cabbage), Onion, Green chillies, Urad dal, Grated coconut, Mixed vegetables (drumstick, carrot, onion, tomato), Sambar powder, Fenugreek seeds, Drumstick, Carrot, Appalam</t>
  </si>
  <si>
    <t>750ml rice with 100ml of sambhar 100ml of vatha kuzhambu 100ml of any vegetable poriyal 100ml of any vegetable kootu 100ml of rasam 100ml of buttermilk with vattal or appalam</t>
  </si>
  <si>
    <t>RavaUpma</t>
  </si>
  <si>
    <t>Rava (semolina), Onion, Green chillies, Ginger, Cashews, Curry leaves, Mustard seeds, Urad dal, Chana dal, Ghee, Water, Salt</t>
  </si>
  <si>
    <t>500ml  of rava upma with 100ml of samhar and chutney</t>
  </si>
  <si>
    <t>DoubleOmelette</t>
  </si>
  <si>
    <t>Eggs (2), Onion, Green chillies, Tomato, Coriander leaves, Pepper powder, Oil, Salt</t>
  </si>
  <si>
    <t>Pepper omelette with 2 no.s of egg</t>
  </si>
  <si>
    <t>Ayalafishfry</t>
  </si>
  <si>
    <t>Ayala fish (mackerel), Red chilli powder, Turmeric powder, Coriander powder, Ginger-garlic paste, Lemon juice, Curry leaves, Oil for frying, Salt</t>
  </si>
  <si>
    <t>2 no.s of full ayala fish fry</t>
  </si>
  <si>
    <t>Podidosa</t>
  </si>
  <si>
    <t>Dosa batter (rice and urad dal), Oil, Urad dal, Chana dal, Dried red chillies, Curry leaves, Asafoetida, Salt, Ghee for serving</t>
  </si>
  <si>
    <t>2 no.s of podi dosa with 100ml sambhar and chutney</t>
  </si>
  <si>
    <t>Kaldosa</t>
  </si>
  <si>
    <t>Dosa batter (rice and urad dal), Onion, Green chillies, Ginger, Curry leaves, Oil, Salt</t>
  </si>
  <si>
    <t>2 no.s of kal dosa with 100ml of sambhar and chutney</t>
  </si>
  <si>
    <t>Crabkurma</t>
  </si>
  <si>
    <t>Crab, Onion, Tomato, Coconut, Poppy seeds, Cashews, Ginger-garlic paste, Green chillies, Whole spices (cinnamon, cloves, cardamom), Fennel seeds, Turmeric powder, Red chilli powder, Coriander powder, Curry leaves, Oil, Salt, Coriander leaves</t>
  </si>
  <si>
    <t>500ml of crab curry with 2 piece of crab</t>
  </si>
  <si>
    <t>Meenkuzhambu</t>
  </si>
  <si>
    <t>Fish pieces, Tamarind, Onion, Tomato, Red chilli powder, Coriander powder, Turmeric powder, Fenugreek powder, Garlic, Curry leaves, Mustard seeds, Fenugreek seeds, Oil, Salt, Coriander leaves</t>
  </si>
  <si>
    <t>500ml of any fish curry with 2 pieces of fish</t>
  </si>
  <si>
    <t>PepperPrawnthokku</t>
  </si>
  <si>
    <t>Prawns, Onion, Tomato, Ginger-garlic paste, Green chillies, Black pepper (coarsely ground), Red chilli powder, Turmeric powder, Coriander powder, Curry leaves, Oil, Salt, Coriander leaves</t>
  </si>
  <si>
    <t>250ml of pepper prawn thokku</t>
  </si>
  <si>
    <t>Ricewithprawnthokku</t>
  </si>
  <si>
    <t>Cooked white rice, Prawns, Onion, Tomato, Ginger-garlic paste, Green chillies, Black pepper (coarsely ground), Red chilli powder, Turmeric powder, Coriander powder, Curry leaves, Oil, Salt, Coriander leaves</t>
  </si>
  <si>
    <t>500ml rice, 250ml prawn thokku, 100ml rasam with 1no.s egg</t>
  </si>
  <si>
    <t>Crabmeals</t>
  </si>
  <si>
    <t>Rice, Crab, Tamarind, Onion, Tomato, Coconut, Poppy seeds, Cashews, Ginger-garlic paste, Green chillies, Whole spices (cinnamon, cloves, cardamom), Fennel seeds, Turmeric powder, Red chilli powder, Coriander powder, Curry leaves, Oil, Salt, Coriander leaves, Fenugreek powder, Mustard seeds, Fenugreek seeds, Black pepper (coarsely ground), Toor dal, Urad dal, Chana dal, Dried red chillies, Asafoetida, Ghee, Mixed vegetables (beans/carrot/cabbage), Mixed vegetables (drumstick, carrot, onion, tomato), Appalam, Water</t>
  </si>
  <si>
    <t>500ml rice, 250ml full crab kurma, 100ml rasam with 1no.s egg</t>
  </si>
  <si>
    <t>Fishmeals</t>
  </si>
  <si>
    <t>Rice, Fish, Tamarind, Onion, Tomato, Coconut, Poppy seeds, Cashews, Ginger-garlic paste, Green chillies, Whole spices (cinnamon, cloves, cardamom), Fennel seeds, Turmeric powder, Red chilli powder, Coriander powder, Curry leaves, Oil, Salt, Coriander leaves, Fenugreek powder, Mustard seeds, Fenugreek seeds, Black pepper (coarsely ground), Toor dal, Urad dal, Chana dal, Dried red chillies, Asafoetida, Ghee, Mixed vegetables (beans/carrot/cabbage), Mixed vegetables (drumstick, carrot, onion, tomato), Appalam, Water</t>
  </si>
  <si>
    <t>500ml rice, 250ml of fish curry, 100ml rasam,1 no.s ayala fish fry with 1no.s egg</t>
  </si>
  <si>
    <t>Sidedishcombo</t>
  </si>
  <si>
    <t>Toor dal, Tamarind, Onion, Tomato, Mixed vegetables (drumstick, carrot, beans, cabbage, etc), Coconut, Grated coconut, Green chillies, Ginger, Garlic, Curry leaves, Mustard seeds, Fenugreek seeds, Urad dal, Chana dal, Dried red chillies, Rasam powder, Sambar powder, Turmeric powder, Red chilli powder, Coriander powder, Black pepper (coarsely ground), Cumin seeds, Asafoetida, Oil/Ghee, Salt, Coriander leaves, Water</t>
  </si>
  <si>
    <t>250ml of prawn thokku, 2no.s of ayala fish fry and 2 no.s of egg</t>
  </si>
  <si>
    <t>Eggkurma</t>
  </si>
  <si>
    <t>Eggs (boiled), Onion, Tomato, Coconut, Poppy seeds, Cashews, Ginger-garlic paste, Green chillies, Whole spices (cinnamon, cloves, cardamom), Fennel seeds, Turmeric powder, Red chilli powder, Coriander powder, Curry leaves, Oil, Salt, Coriander leaves</t>
  </si>
  <si>
    <t>500ml of egg kurma with 2 no.s of egg</t>
  </si>
  <si>
    <t>Kaliwithkaruvatukuzhambu</t>
  </si>
  <si>
    <t>Ragi flour/Rice flour, Water, Salt, Dry fish (karuvadu), Tamarind, Onion, Tomato, Red chilli powder, Coriander powder, Turmeric powder, Garlic, Curry leaves, Mustard seeds, Fenugreek seeds, Oil</t>
  </si>
  <si>
    <t>1no.s of kali with 250 ml karuvaatu kuzhambu</t>
  </si>
  <si>
    <t>Chickenthokku</t>
  </si>
  <si>
    <t>Chicken, Onion, Tomato, Ginger-garlic paste, Green chillies, Red chilli powder, Turmeric powder, Coriander powder, Garam masala, Curry leaves, Oil, Salt, Coriander leaves</t>
  </si>
  <si>
    <t>250ml of chicken thokku</t>
  </si>
  <si>
    <t>Idlywithmeenkuzhambu</t>
  </si>
  <si>
    <t>Dosa/Idli batter (rice and urad dal), Onion, Green chillies, Ginger, Curry leaves, Oil, Salt, Fish, Tamarind, Tomato, Red chilli powder, Coriander powder, Turmeric powder, Fenugreek powder, Garlic, Mustard seeds, Fenugreek seeds, Water, Coriander leaves</t>
  </si>
  <si>
    <t>4 no.s of idly with 250ml of meen kuzhambu with 1 piece of fish</t>
  </si>
  <si>
    <t>Idlywithchickencurry</t>
  </si>
  <si>
    <t>Dosa/Idli batter (rice and urad dal), Onion, Green chillies, Ginger, Curry leaves, Oil, Salt, Chicken, Tomato, Ginger-garlic paste, Red chilli powder, Turmeric powder, Coriander powder, Garam masala, Coriander leaves, Water</t>
  </si>
  <si>
    <t>4 no.s of idly with 250ml of chicken curry</t>
  </si>
  <si>
    <t>Kavalaifishfry</t>
  </si>
  <si>
    <t>Kavalai fish, Red chilli powder, Turmeric powder, Coriander powder, Ginger-garlic paste, Lemon juice, Curry leaves, Oil for frying, Salt</t>
  </si>
  <si>
    <t>6 no.s of kavalai fish fry</t>
  </si>
  <si>
    <t>Pongalwithsambharandchutney</t>
  </si>
  <si>
    <t>Raw rice, Moong dal, Black pepper, Cumin seeds, Ginger, Curry leaves, Ghee, Cashews, Salt, Toor dal, Tamarind, Onion, Tomato, Mixed vegetables (drumstick, carrot, beans, cabbage, etc), Grated coconut, Green chillies, Garlic, Urad dal, Chana dal, Dried red chillies, Rasam powder, Sambar powder, Turmeric powder, Red chilli powder, Coriander powder, Mustard seeds, Fenugreek seeds, Asafoetida, Oil, Coriander leaves, Water</t>
  </si>
  <si>
    <t>250ml of pongal with 100ml sambhar and chutney</t>
  </si>
  <si>
    <t>Appamwiththengaipaal</t>
  </si>
  <si>
    <t>Raw rice, Cooked rice, Coconut, Sugar, Yeast/toddy, Salt, Coconut milk, Jaggery/Sugar, Cardamom powder</t>
  </si>
  <si>
    <t>3 no.s of appam with 250ml thengai pal</t>
  </si>
  <si>
    <t>Oniondosa</t>
  </si>
  <si>
    <t>Dosa batter, Onion (chopped), Green chillies, Curry leaves, Oil, Salt</t>
  </si>
  <si>
    <t>2 no.s of onion dosa with 100ml sambhar and chutney</t>
  </si>
  <si>
    <t>Poorivegetablekurma</t>
  </si>
  <si>
    <t>Wheat flour, Salt, Oil, Water, Oil for frying, Mixed vegetables (potato, carrot, beans, peas), Onion, Tomato, Coconut, Poppy seeds, Cashews, Ginger-garlic paste, Green chillies, Whole spices, Turmeric powder, Red chilli powder, Curry leaves, Coriander leaves</t>
  </si>
  <si>
    <t>4 no.s of poori with 250ml of vegetable kurma</t>
  </si>
  <si>
    <t>Eggdosa</t>
  </si>
  <si>
    <t>Dosa batter, Eggs, Onion, Green chillies, Coriander leaves, Oil, Salt</t>
  </si>
  <si>
    <t>2 no.s of egg dosa with 100ml sambhar and chutney</t>
  </si>
  <si>
    <t>Pooriandpotatomasala</t>
  </si>
  <si>
    <t>Wheat flour, Salt, Oil, Water, Potato, Onion, Green chillies, Ginger, Turmeric powder, Curry leaves, Mustard seeds, Urad dal</t>
  </si>
  <si>
    <t>4 no.s of poori with 250ml of potato masala</t>
  </si>
  <si>
    <t>Chappathipotatomasala</t>
  </si>
  <si>
    <t>4 no.s of chappathi with 250ml of potato masala</t>
  </si>
  <si>
    <t>Chappathiwithkurma</t>
  </si>
  <si>
    <t>Wheat flour, Salt, Oil, Water, Mixed vegetables (potato, carrot, beans, peas), Onion, Tomato, Coconut, Poppy seeds, Cashews, Ginger-garlic paste, Green chillies, Whole spices, Turmeric powder, Red chilli powder, Curry leaves, Coriander leaves</t>
  </si>
  <si>
    <t>4 no.s of chappathi with 250ml of vegetable masala</t>
  </si>
  <si>
    <t>Ricewithchickenkulambu</t>
  </si>
  <si>
    <t>Cooked rice, Chicken pieces, Onion, Tomato, Tamarind, Red chilli powder, Coriander powder, Turmeric powder, Ginger-garlic paste, Curry leaves, Mustard seeds, Fenugreek seeds, Oil, Salt, Coriander leaves</t>
  </si>
  <si>
    <t>500ml rice, 250ml chicken kuzhambu, 100ml rasam with 1 no.s egg</t>
  </si>
  <si>
    <t>Dryfishmeals</t>
  </si>
  <si>
    <t>Rice, Dry fish (karuvadu), Tamarind, Onion, Tomato, Red chilli powder, Coriander powder, Turmeric powder, Garlic, Curry leaves, Mustard seeds, Fenugreek seeds, Oil, Salt, Toor dal, Urad dal, Chana dal, Dried red chillies, Asafoetida, Green chillies, Ginger, Grated coconut, Mixed vegetables (beans/carrot/cabbage, drumstick, carrot, onion, tomato), Coriander leaves, Water</t>
  </si>
  <si>
    <t>500ml rice, 250ml karuvaatu kuzhmabu, 2 pieces dry fish fry, 100ml rasam with 1 no.s egg</t>
  </si>
  <si>
    <t>Kaliwithchickenkuzhambu</t>
  </si>
  <si>
    <t>Cooked rice, Chicken, Onion, Tomato, Tamarind, Red chilli powder, Coriander powder, Turmeric powder, Ginger-garlic paste, Curry leaves, Mustard seeds, Fenugreek seeds, Oil, Salt, Coriander leaves</t>
  </si>
  <si>
    <t>1 no.s kali with 250ml chicken kuzhambu</t>
  </si>
  <si>
    <t>Kaliwithmeenkuzhambu</t>
  </si>
  <si>
    <t>Cooked rice, Fish, Tamarind, Onion, Tomato, Red chilli powder, Coriander powder, Turmeric powder, Fenugreek powder, Garlic, Ginger-garlic paste, Curry leaves, Mustard seeds, Fenugreek seeds, Oil, Salt, Coriander leaves, Water</t>
  </si>
  <si>
    <t>1 no.s kali with 250ml meen kuzhambu</t>
  </si>
  <si>
    <t>Idlywithverkadalaichutney</t>
  </si>
  <si>
    <t>Dosa/Idli batter (rice and urad dal), Roasted peanuts, Roasted gram dal, Dried red chillies, Tamarind, Garlic, Curry leaves, Mustard seeds, Urad dal, Oil, Salt</t>
  </si>
  <si>
    <t>4 no.s of idly with 250ml of verkadlai chutney</t>
  </si>
  <si>
    <t>Appamwithkurma</t>
  </si>
  <si>
    <t>Raw rice, Cooked rice, Coconut, Sugar, Yeast/toddy, Salt, Coconut milk, Jaggery/Sugar, Cardamom powder, Mixed vegetables (potato, carrot, beans, peas), Onion, Tomato, Poppy seeds, Cashews, Ginger-garlic paste, Green chillies, Whole spices, Turmeric powder, Red chilli powder, Curry leaves, Oil, Coriander leaves</t>
  </si>
  <si>
    <t>3 no.s of appam with 250ml of kurma</t>
  </si>
  <si>
    <t>Onionpodidosa</t>
  </si>
  <si>
    <t>Dosa batter, Onion (chopped), Podi (spice powder), Ghee, Oil, Salt</t>
  </si>
  <si>
    <t>2 no.s of onion podi dosa with 100ml sambhar and chutney</t>
  </si>
  <si>
    <t>3 no.s of onion podi dosa with 100ml sambhar and chutney</t>
  </si>
  <si>
    <t>Chicken65</t>
  </si>
  <si>
    <t>Chicken, Corn flour, All-purpose flour, Ginger-garlic paste, Red chilli powder, Turmeric powder, Garam masala, Lemon juice, Curry leaves, Green chillies, Yogurt, Oil for frying, Salt</t>
  </si>
  <si>
    <t>250ml chicken 65</t>
  </si>
  <si>
    <t>ChickenBiryani</t>
  </si>
  <si>
    <t>Basmati rice/Seeraga samba rice, Chicken, Onion, Tomato, Yogurt, Ginger-garlic paste, Green chillies, Mint leaves, Coriander leaves, Biryani masala, Turmeric powder, Red chilli powder, Whole spices (bay leaf, cinnamon, cloves, cardamom, star anise), Ghee, Oil, Salt, Lemon juice</t>
  </si>
  <si>
    <t>750ml chicken biryani, 1 no.s egg and 100ml raita</t>
  </si>
  <si>
    <t>Ricewithchickengravy</t>
  </si>
  <si>
    <t>Cooked rice, Chicken pieces, Onion, Tomato, Ginger-garlic paste, Green chillies, Red chilli powder, Turmeric powder, Coriander powder, Garam masala, Curry leaves, Oil, Salt, Coriander leaves</t>
  </si>
  <si>
    <t>500ml rice, 250ml chicken curry, 100ml rasam with 1 no.s egg</t>
  </si>
  <si>
    <t>Nonvegfamilycombo1</t>
  </si>
  <si>
    <t>Rice, Cooked rice, Chicken, Fish (Kavalai/Ayala/Meen), Eggs, Tamarind, Onion, Tomato, Coconut, Poppy seeds, Cashews, Ginger-garlic paste, Green chillies, Whole spices (cinnamon, cloves, cardamom, bay leaf, star anise), Fennel seeds, Turmeric powder, Red chilli powder, Coriander powder, Curry leaves, Mustard seeds, Fenugreek seeds, Urad dal, Toor dal, Chana dal, Dried red chillies, Black pepper (coarsely ground), Cumin seeds, Asafoetida, Ghee, Oil, Salt, Coriander leaves, Mixed vegetables (drumstick, carrot, beans, cabbage, potato, peas), Grated coconut, Water, Lemon juice, Yogurt, Biryani masala, Garam masala</t>
  </si>
  <si>
    <t>500ml rice 2 no.s, boiled egg 3 no.s, chicken curry 500ml (6 pieces), fish fry 3 no.s(any fish), prawn thoku 300ml, any sweet 250ml</t>
  </si>
  <si>
    <t>Watermelonjuice</t>
  </si>
  <si>
    <t>Beverage</t>
  </si>
  <si>
    <t>atermelon, Sugar (optional), Lemon juice (optional), Salt (optional), Ice cubes</t>
  </si>
  <si>
    <t>300ml of freshly prepared juice</t>
  </si>
  <si>
    <t>Nethilikaruvaadufry</t>
  </si>
  <si>
    <t>Nethili dry fish (anchovies), Onion, Curry leaves, Red chilli powder, Turmeric powder, Oil, Salt</t>
  </si>
  <si>
    <t>250ml of nethili karuvaadu</t>
  </si>
  <si>
    <t>Molagabajji</t>
  </si>
  <si>
    <t>Green chillies (long variety), Gram flour (besan), Rice flour, Red chilli powder, Asafoetida, Baking soda, Oil for frying, Salt</t>
  </si>
  <si>
    <t>4 no.s of bajji with 100ml chutney</t>
  </si>
  <si>
    <t>Urulaikizhangubajji</t>
  </si>
  <si>
    <t>Potato (sliced), Gram flour (besan), Rice flour, Red chilli powder, Turmeric powder, Asafoetida, Baking soda, Oil for frying, Salt</t>
  </si>
  <si>
    <t>Vazhakkaibajji</t>
  </si>
  <si>
    <t>Raw banana (sliced), Gram flour (besan), Rice flour, Red chilli powder, Turmeric powder, Asafoetida, Baking soda, Oil for frying, Salt</t>
  </si>
  <si>
    <t>Moorkuzhambu</t>
  </si>
  <si>
    <t>Yogurt, Coconut, Green chillies, Cumin seeds, Turmeric powder, Cucumber/ash gourd, Curry leaves, Mustard seeds, Fenugreek seeds, Dried red chillies, Asafoetida, Oil, Salt</t>
  </si>
  <si>
    <t>250ml of creamy moor kuzhambu made with fresh curd</t>
  </si>
  <si>
    <t>Gheepodiidly</t>
  </si>
  <si>
    <t>Dosa/Idli batter (rice and urad dal), Ghee, Podi (spice powder)</t>
  </si>
  <si>
    <t>14 no.s of small size idlies mixed with aromatic podi</t>
  </si>
  <si>
    <t>Podiidly</t>
  </si>
  <si>
    <t>Dosa/Idli batter (rice and urad dal), Podi (spice powder), Oil/Ghee</t>
  </si>
  <si>
    <t>4 no.s of aromatic podi idly</t>
  </si>
  <si>
    <t>LemonJuice</t>
  </si>
  <si>
    <t>Lemon, Water, Sugar, Salt, Ice cubes</t>
  </si>
  <si>
    <t>Semiyapayasam</t>
  </si>
  <si>
    <t>Vermicelli (semiya), Milk, Sugar, Ghee, Cashews, Raisins, Cardamom powder</t>
  </si>
  <si>
    <t>500ml of creamy semiya payasam</t>
  </si>
  <si>
    <t>Prawnkurma</t>
  </si>
  <si>
    <t>Prawns, Onion, Tomato, Coconut, Poppy seeds, Cashews, Ginger-garlic paste, Green chillies, Whole spices, Fennel seeds, Turmeric powder, Red chilli powder, Coriander powder, Curry leaves, Oil, Salt, Coriander leaves</t>
  </si>
  <si>
    <t>500ml of prawn kurma</t>
  </si>
  <si>
    <t>Chappathiwithchickengravy</t>
  </si>
  <si>
    <t>Wheat flour, Salt, Oil, Water, Chicken, Onion, Tomato, Ginger-garlic paste, Green chillies, Red chilli powder, Turmeric powder, Coriander powder, Garam masala, Curry leaves, Oil, Salt, Coriander leaves</t>
  </si>
  <si>
    <t>4 no.s of chappathi with 250ml of chicken gravy with pieces</t>
  </si>
  <si>
    <t>Vepamoorasam</t>
  </si>
  <si>
    <t>Toor dal, Tamarind, Tomato, Neem flowers (vepampoo), Rasam powder, Turmeric powder, Jaggery, Garlic, Curry leaves, Mustard seeds, Asafoetida, Ghee/Oil, Salt</t>
  </si>
  <si>
    <t>500ml of rasam made with neem flower</t>
  </si>
  <si>
    <t>Vazhakkaivaruval</t>
  </si>
  <si>
    <t>Raw banana, Onion, Green chillies, Red chilli powder, Turmeric powder, Coriander powder, Curry leaves, Mustard seeds, Urad dal, Oil, Salt</t>
  </si>
  <si>
    <t>250ml of vazhakkai varuval</t>
  </si>
  <si>
    <t>Mixedvegetablesambar</t>
  </si>
  <si>
    <t>Toor dal, Mixed vegetables (drumstick, carrot, beans, pumpkin, tomato, onion), Tamarind, Sambar powder, Turmeric powder, Mustard seeds, Curry leaves, Asafoetida, Oil, Salt</t>
  </si>
  <si>
    <t>500ml of mixed vegetable sambar</t>
  </si>
  <si>
    <t>ParuppuNei</t>
  </si>
  <si>
    <t>Toor dal, Ghee, Cumin seeds, Pepper, Turmeric powder, Curry leaves, Asafoetida, Salt</t>
  </si>
  <si>
    <t>250ml of paruppu mixed with nei</t>
  </si>
  <si>
    <t>Paruppupayasam</t>
  </si>
  <si>
    <t>Moong dal, Jaggery, Coconut milk, Ghee, Cashews, Raisins, Cardamom powder, Dry ginger powder</t>
  </si>
  <si>
    <t>500ml of paruppu payasam</t>
  </si>
  <si>
    <t>Seeragasambamuttonbiryani</t>
  </si>
  <si>
    <t>Seeraga samba rice, Mutton, Onion, Tomato, Yogurt, Ginger-garlic paste, Green chillies, Mint leaves, Coriander leaves, Biryani masala, Turmeric powder, Red chilli powder, Whole spices, Ghee, Oil, Salt, Lemon juice</t>
  </si>
  <si>
    <t>750ml of traditional seeraga samba mutton biryani with one egg and raita</t>
  </si>
  <si>
    <t>Ricewithsambarandporiyal</t>
  </si>
  <si>
    <t>Cooked rice, Toor dal, Mixed vegetables (drumstick, carrot, beans, pumpkin, tomato, onion), Tamarind, Sambar powder, Turmeric powder, Mustard seeds, Curry leaves, Asafoetida, Oil, Salt, Coconut, Green chillies, Onion, Ginger, Mustard seeds, Urad dal, Curry leaves, Grated coconut, Oil, Salt</t>
  </si>
  <si>
    <t>500ml rice with 250ml sambar and 100ml poriyal</t>
  </si>
  <si>
    <t>Varietyricecombo2</t>
  </si>
  <si>
    <t>Cooked rice, Lemon, Water, Sugar (optional), Salt (optional), Curd, Oil/Ghee</t>
  </si>
  <si>
    <t>250ml of lemon rice and 250ml of curd rice with 100ml poriyal</t>
  </si>
  <si>
    <t>Varietyricecombo1</t>
  </si>
  <si>
    <t>Tamarind, Curd, Toor dal, Onion, Tomato, Mixed vegetables (drumstick, carrot, beans, pumpkin, tomato, onion), Turmeric powder, Red chilli powder, Coriander powder, Mustard seeds, Fenugreek seeds, Urad dal, Chana dal, Dried red chillies, Asafoetida, Curry leaves, Oil/Ghee, Salt, Coconut, Green chillies, Ginger, Grated coconut, Coriander leaves, Water</t>
  </si>
  <si>
    <t>250ml of puliogare rice and 250ml of curd rice with 100ml poriyal</t>
  </si>
  <si>
    <t>Eggpodimas</t>
  </si>
  <si>
    <t>Eggs, Onion, Tomato, Green chillies, Turmeric powder, Red chilli powder, Curry leaves, Mustard seeds, Oil, Salt, Coriander leaves</t>
  </si>
  <si>
    <t>250ml of egg podimas</t>
  </si>
  <si>
    <t>KeeraiKootu</t>
  </si>
  <si>
    <t>Spinach/greens (keerai), Moong dal, Coconut, Green chillies, Cumin seeds, Turmeric powder, Garlic (optional), Curry leaves, Mustard seeds, Urad dal, Oil, Salt</t>
  </si>
  <si>
    <t>250ml of keerai kootu</t>
  </si>
  <si>
    <t>Keeraiparuppukadayal</t>
  </si>
  <si>
    <t>Spinach/greens (keerai), Toor dal, Tomato (optional), Green chillies, Turmeric powder, Cumin seeds, Garlic, Curry leaves, Mustard seeds, Asafoetida, Ghee/Oil, Salt</t>
  </si>
  <si>
    <t>500ml of any keerai kadayal</t>
  </si>
  <si>
    <t>ChickenFamilyCombo</t>
  </si>
  <si>
    <t>Rice, Chicken, Tamarind, Onion, Tomato, Ginger-garlic paste, Green chillies, Red chilli powder, Turmeric powder, Coriander powder, Garam masala, Curry leaves, Mustard seeds, Fenugreek seeds, Oil, Salt, Coriander leaves, Toor dal, Urad dal, Chana dal, Dried red chillies, Asafoetida, Coconut, Mixed vegetables (drumstick, carrot, beans, cabbage, potato, peas), Grated coconut, Water</t>
  </si>
  <si>
    <t>4 no.s of 500ml rice, 750ml chicken curry, 500ml of hicken 65, 4 no.s egg, 250ml sweet, 250ml rasam</t>
  </si>
  <si>
    <t>Muttonthokku</t>
  </si>
  <si>
    <t>Mutton, Onion, Tomato, Ginger-garlic paste, Green chillies, Red chilli powder, Turmeric powder, Coriander powder, Garam masala, Fennel seeds, Curry leaves, Oil, Salt, Coriander leaves</t>
  </si>
  <si>
    <t>250ml of muttom thokku</t>
  </si>
  <si>
    <t>Vegbiriyani-gobimanchurian-sweet</t>
  </si>
  <si>
    <t>Basmati/Seeraga samba rice, Mixed vegetables (carrot, beans, peas, cauliflower, etc), Onion, Tomato, Ginger-garlic paste, Green chillies, Mint leaves, Coriander leaves, Biryani masala, Turmeric powder, Red chilli powder, Whole spices (bay leaf, cinnamon, cloves, cardamom, star anise), Ghee, Oil, Salt, Lemon juice, Cauliflower, Corn flour, All-purpose flour, Soy sauce, Tomato sauce, Vinegar, Sugar, Chili sauce, Oil for frying, Vermicelli (semiya), Milk, Sugar, Ghee, Cashews, Raisins, Cardamom powder</t>
  </si>
  <si>
    <t>300ml veg biryai, 2 no.s chappathi, 150ml mixed veg curry, 150ml gobi manchurian gulab jamun 1 no.s</t>
  </si>
  <si>
    <t>KalDosaiwithChickenCurry</t>
  </si>
  <si>
    <t>Dosa/Idli batter (rice and urad dal), Onion, Green chillies, Ginger, Curry leaves, Oil, Salt, Chicken, Tomato, Ginger-garlic paste, Red chilli powder, Turmeric powder, Coriander powder, Garam masala, Coriander leaves</t>
  </si>
  <si>
    <t>Kal dosai with chicken curry</t>
  </si>
  <si>
    <t>Ricewithrasamandeggfry</t>
  </si>
  <si>
    <t>Cooked rice, Toor dal, Tamarind, Onion, Tomato, Rasam powder, Turmeric powder, Garlic, Curry leaves, Mustard seeds, Asafoetida, Oil/Ghee, Salt, Eggs, Green chillies, Red chilli powder, Coriander leaves</t>
  </si>
  <si>
    <t>Rice with rasam and egg fry</t>
  </si>
  <si>
    <t>Tamarindricewitheggfry</t>
  </si>
  <si>
    <t>Cooked rice, Tamarind, Peanuts, Cashews, Green chillies, Ginger, Turmeric powder, Red chilli powder, Curry leaves, Mustard seeds, Urad dal, Chana dal, Asafoetida, Oil, Salt, Eggs, Onion, Tomato, Coriander leaves</t>
  </si>
  <si>
    <t>500ml tamarind rice with 1 no.s egg fry</t>
  </si>
  <si>
    <t>Ricewithsambarandeggfry</t>
  </si>
  <si>
    <t>Cooked rice, Toor dal, Mixed vegetables (drumstick, carrot, beans, pumpkin, tomato, onion), Tamarind, Sambar powder, Turmeric powder, Mustard seeds, Curry leaves, Asafoetida, Oil, Salt, Eggs, Onion, Tomato, Green chillies, Red chilli powder, Coriander leaves</t>
  </si>
  <si>
    <t>500ml rice with 250ml smabar and 2 no.s egg fry</t>
  </si>
  <si>
    <t>MushroomBiryani(BasmatiRice)</t>
  </si>
  <si>
    <t>Basmati rice, Mushrooms, Onion, Tomato, Yogurt, Ginger-garlic paste, Green chillies, Mint leaves, Coriander leaves, Biryani masala, Turmeric powder, Red chilli powder, Whole spices, Ghee, Oil, Salt</t>
  </si>
  <si>
    <t>750ml mushroom biryani 100ml raita</t>
  </si>
  <si>
    <t>Deepawalisplkarivirundhu</t>
  </si>
  <si>
    <t>Rice, Chicken, Mutton, Onion, Tomato, Ginger-garlic paste, Green chillies, Red chilli powder, Turmeric powder, Coriander powder, Garam masala, Fennel seeds, Curry leaves, Mustard seeds, Fenugreek seeds, Oil, Ghee, Salt, Coriander leaves, Toor dal, Urad dal, Chana dal, Dried red chillies, Asafoetida, Tamarind, Coconut, Cashews, Poppy seeds, Grated coconut, Mixed vegetables (carrot, beans, peas, drumstick, cabbage, potato, pumpkin, tomato, onion, cauliflower), Mint leaves, Yogurt, Biryani masala, Whole spices (bay leaf, cinnamon, cloves, cardamom, star anise), Lemon juice, Eggs, Vermicelli (semiya), Milk, Sugar, Raisins, Cardamom powder, Jaggery, Dry ginger powder</t>
  </si>
  <si>
    <t>750ml rice, 250ml mutton kuzhambu, 100ml mutton chukka, 100ml rasam, 1 no.s egg fry</t>
  </si>
  <si>
    <t>Gheeminisambaridly</t>
  </si>
  <si>
    <t>Dosa/Idli batter (rice and urad dal), Toor dal, Mixed vegetables (drumstick, carrot, beans, pumpkin, tomato, onion), Tamarind, Sambar powder, Turmeric powder, Mustard seeds, Curry leaves, Asafoetida, Oil, Salt, Ghee</t>
  </si>
  <si>
    <t>20 no.s mini idly serves with 500ml sambar and ghee</t>
  </si>
  <si>
    <t>PooriwithChickenkuzhambu</t>
  </si>
  <si>
    <t>5 no.s of poori with 250ml chicken kuzhambu</t>
  </si>
  <si>
    <t>Chapathiwitheggthokku</t>
  </si>
  <si>
    <t>Wheat flour, Salt, Oil, Water, Eggs (boiled), Onion, Tomato, Ginger-garlic paste, Green chillies, Red chilli powder, Turmeric powder, Coriander powder, Curry leaves, Coriander leaves</t>
  </si>
  <si>
    <t>4 no.s of chappathi with 250ml egg thokku</t>
  </si>
  <si>
    <t>MushroomBiryani(Seeragasambarice)</t>
  </si>
  <si>
    <t>Seeraga samba rice, Mushrooms, Onion, Tomato, Yogurt, Ginger-garlic paste, Green chillies, Mint leaves, Coriander leaves, Biryani masala, Turmeric powder, Red chilli powder, Whole spices, Ghee, Oil, Salt</t>
  </si>
  <si>
    <t>750ml mushroom biryani with 100ml raita</t>
  </si>
  <si>
    <t>Ricewithsambarandchicken65</t>
  </si>
  <si>
    <t>Cooked rice, Toor dal, Mixed vegetables (drumstick, carrot, beans, pumpkin, tomato, onion), Tamarind, Sambar powder, Turmeric powder, Mustard seeds, Curry leaves, Asafoetida, Oil, Salt, Chicken, Corn flour, All-purpose flour, Ginger-garlic paste, Red chilli powder, Turmeric powder, Garam masala, Lemon juice, Curry leaves, Green chillies, Yogurt, Oil for frying, Salt</t>
  </si>
  <si>
    <t>500ml rice with 250ml sambar and 100ml chicken 65 1 no.s egg</t>
  </si>
  <si>
    <t>Ravakesari</t>
  </si>
  <si>
    <t>Rava (semolina), Sugar, Ghee, Cashews, Raisins, Cardamom powder, Food color (orange/yellow), Water</t>
  </si>
  <si>
    <t>250ml of rava kesari</t>
  </si>
  <si>
    <t>Prawnkadaairicewitheggomelette</t>
  </si>
  <si>
    <t>Rice, Prawns, Onion, Tomato, Capsicum, Ginger-garlic paste, Green chillies, Red chilli powder, Turmeric powder, Garam masala, Curry leaves, Oil, Salt, Coriander leaves, Eggs, Coriander leaves</t>
  </si>
  <si>
    <t>500ml prawn kadaai rice with egg omelette</t>
  </si>
  <si>
    <t>Godhumaidosaiwithchutney</t>
  </si>
  <si>
    <t>Wheat flour, Rice flour, Onion, Green chillies, Curry leaves, Cumin seeds, Salt, Water, Oil, Roasted peanuts, Roasted gram dal, Dried red chillies, Tamarind, Garlic, Mustard seeds, Urad dal</t>
  </si>
  <si>
    <t>3 no.s wheat dosai with onion chutney</t>
  </si>
  <si>
    <t>Organickaruppukavunikanji</t>
  </si>
  <si>
    <t>Black rice (karuppu kavuni), Water, Jaggery/Palm jaggery, Coconut milk, Cardamom powder</t>
  </si>
  <si>
    <t>500ml of kanji with 100ml thovayal</t>
  </si>
  <si>
    <t>PepperChicken</t>
  </si>
  <si>
    <t>Chicken, Black pepper (coarsely ground), Onion, Tomato, Ginger-garlic paste, Green chillies, Red chilli powder, Turmeric powder, Soy sauce, Curry leaves, Oil, Salt, Coriander leaves</t>
  </si>
  <si>
    <t>250ml of pepper chicken (with bones)</t>
  </si>
  <si>
    <t>PrawnChilli</t>
  </si>
  <si>
    <t>Prawns, Onion, Capsicum, Tomato, Green chillies, Ginger-garlic paste, Soy sauce, Tomato sauce, Red chilli sauce, Corn flour, Pepper powder, Oil, Salt, Spring onions</t>
  </si>
  <si>
    <t>15 no.s of big size juicy prawns with 100ml tomto sauce</t>
  </si>
  <si>
    <t>EggChappathiwithplaingravy</t>
  </si>
  <si>
    <t>Wheat flour, Eggs, Onion, Green chillies, Coriander leaves, Salt, Oil, Tomato, Ginger-garlic paste, Red chilli powder, Turmeric powder, Coriander powder, Curry leaves</t>
  </si>
  <si>
    <t>Egg Chappathi with plain gravy</t>
  </si>
  <si>
    <t>Chickenkuzhambu</t>
  </si>
  <si>
    <t>Chicken, Tamarind, Onion, Tomato, Red chilli powder, Coriander powder, Turmeric powder, Ginger-garlic paste, Curry leaves, Mustard seeds, Fenugreek seeds, Oil, Salt, Coriander leaves</t>
  </si>
  <si>
    <t>500ml of chicken kuzhambu (6 to 7 pieces with bones)</t>
  </si>
  <si>
    <t>Odachivittamuttaikuzhambu</t>
  </si>
  <si>
    <t>Eggs (boiled), Tamarind, Onion, Tomato, Coconut (ground), Red chilli powder, Coriander powder, Turmeric powder, Poppy seeds, Fennel seeds, Curry leaves, Mustard seeds, Fenugreek seeds, Oil, Salt</t>
  </si>
  <si>
    <t>500ml of odachi vitta muttai kuzhambu (2 no.s egg)</t>
  </si>
  <si>
    <t>Ravaidliwithchutney</t>
  </si>
  <si>
    <t>Rava (semolina), Yogurt, Cashews, Green chillies, Ginger, Curry leaves, Mustard seeds, Urad dal, Baking soda, Salt, Oil, Roasted peanuts, Roasted gram dal, Dried red chillies, Tamarind, Garlic, Urad dal, Mustard seeds</t>
  </si>
  <si>
    <t>5 no.s of rava idli with 250ml chutney</t>
  </si>
  <si>
    <t>Kanchipuramidliwithkaarachutney</t>
  </si>
  <si>
    <t>Idli rice, Urad dal, Chana dal, Pepper, Cumin seeds, Ginger, Green chillies, Curry leaves, Cashews, Ghee, Asafoetida, Salt, Onion, Tomato, Dried red chillies, Garlic, Tamarind, Urad dal, Mustard seeds, Oil</t>
  </si>
  <si>
    <t>5 no.s of kanchipuram idli with 250ml kara chutney</t>
  </si>
  <si>
    <t>Muttonkuzhambu(withbones)</t>
  </si>
  <si>
    <t>Mutton with bones, Tamarind, Onion, Tomato, Red chilli powder, Coriander powder, Turmeric powder, Ginger-garlic paste, Fennel seeds, Curry leaves, Mustard seeds, Fenugreek seeds, Oil, Salt, Coriander leaves</t>
  </si>
  <si>
    <t>750ml of mutton kuzhambu with bones (7 pieces)</t>
  </si>
  <si>
    <t>Karuvaduthokku</t>
  </si>
  <si>
    <t>Dry fish (karuvadu), Onion, Tomato, Tamarind, Ginger-garlic paste, Red chilli powder, Turmeric powder, Curry leaves, Mustard seeds, Fenugreek seeds, Oil, Salt</t>
  </si>
  <si>
    <t>250ml of vanjaram karuvadu thokku</t>
  </si>
  <si>
    <t>Whitevegpulav(Basmatirice)</t>
  </si>
  <si>
    <t>Basmati rice, Mixed vegetables, Onion, Green chillies, Ginger, Whole spices (bay leaf, cinnamon, cloves, cardamom), Cashews, Ghee, Salt</t>
  </si>
  <si>
    <t>750ml white pulav with 100ml raitha</t>
  </si>
  <si>
    <t>Nethilikaruaduthokku</t>
  </si>
  <si>
    <t>Nethili dry fish, Onion, Tomato, Tamarind, Ginger-garlic paste, Red chilli powder, Turmeric powder, Curry leaves, Mustard seeds, Oil, Salt</t>
  </si>
  <si>
    <t>250ml of dry nethili karuvadu thokku</t>
  </si>
  <si>
    <t>PartyOrdersample</t>
  </si>
  <si>
    <t>Rice, Tamarind, Toor dal, Mixed vegetables (carrot, beans, peas, cauliflower, drumstick, pumpkin, tomato, onion), Yogurt, Onion, Tomato, Ginger-garlic paste, Green chillies, Mint leaves, Coriander leaves, Biryani masala, Turmeric powder, Red chilli powder, Whole spices (bay leaf, cinnamon, cloves, cardamom, star anise), Ghee, Oil, Salt, Curry leaves, Mustard seeds, Urad dal, Chana dal, Dried red chillies, Asafoetida, Beetroot, Cumin seeds, Red chilli powder, Gobi (cauliflower), Corn flour, All-purpose flour, Soy sauce, Tomato sauce, Red chilli sauce</t>
  </si>
  <si>
    <t>veg biryani 250ml, rasam rice 250ml, curd rice 250ml,  varuval 100ml, beetroot poriyal 100ml, gobi 65 100ml</t>
  </si>
  <si>
    <t>Pomegranatejuice</t>
  </si>
  <si>
    <t>Pomegranate, Sugar (optional), Lemon juice (optional), Salt (optional), Ice cubes</t>
  </si>
  <si>
    <t>MENU STATISTICS</t>
  </si>
  <si>
    <t>Count according to Category (Breakfast/Lunch/Dinner/Snack)</t>
  </si>
  <si>
    <t>Pivot table</t>
  </si>
  <si>
    <t>No.of Breakfast foods</t>
  </si>
  <si>
    <t>No.of Lunch foods</t>
  </si>
  <si>
    <t>Row Labels</t>
  </si>
  <si>
    <t>Average of Selling Price (Rupees)</t>
  </si>
  <si>
    <t>No.of Snacks foods</t>
  </si>
  <si>
    <t>No.of Dinner foods</t>
  </si>
  <si>
    <t>Count according to Classification (Veg/Non-veg/Beverage)</t>
  </si>
  <si>
    <t>Grand Total</t>
  </si>
  <si>
    <t>Speed</t>
  </si>
  <si>
    <t>Criteria</t>
  </si>
  <si>
    <t>&lt;=1hr</t>
  </si>
  <si>
    <t>Average price by category</t>
  </si>
  <si>
    <t>Rupees</t>
  </si>
  <si>
    <t>&gt;1hr and &lt;=1hr 30min</t>
  </si>
  <si>
    <t>&gt;1hr 30min  and &lt;=3hr</t>
  </si>
  <si>
    <t xml:space="preserve">Highest Priced Dish </t>
  </si>
  <si>
    <t>Non veg family combo 2, Chicken Family Combo</t>
  </si>
  <si>
    <t>Lowest Priced Dish</t>
  </si>
  <si>
    <t>Egg fry, Idly with sambhar and chutney, Paruppu thakkali kadayal, Double Omelette</t>
  </si>
  <si>
    <t>Average prep time by category</t>
  </si>
  <si>
    <t>hr : min</t>
  </si>
  <si>
    <t>Average of Preparation Time (hr:min)</t>
  </si>
  <si>
    <t>Column Labels</t>
  </si>
  <si>
    <t xml:space="preserve">Appam with kurma </t>
  </si>
  <si>
    <t>Appam with thengai paal</t>
  </si>
  <si>
    <t>Ayala fish fry</t>
  </si>
  <si>
    <t>Chapathi with egg thokku</t>
  </si>
  <si>
    <t>Chappathi potato masala</t>
  </si>
  <si>
    <t xml:space="preserve">Chappathi with chicken gravy </t>
  </si>
  <si>
    <t>Chappathi with kurma</t>
  </si>
  <si>
    <t>Chicken 65</t>
  </si>
  <si>
    <t>Chicken Biryani</t>
  </si>
  <si>
    <t>Chicken Family Combo</t>
  </si>
  <si>
    <t>Chicken kuzhambu</t>
  </si>
  <si>
    <t>Chicken thokku</t>
  </si>
  <si>
    <t>Coconut rice with potato thokku</t>
  </si>
  <si>
    <t>Crab kurma</t>
  </si>
  <si>
    <t>Crab meals</t>
  </si>
  <si>
    <t>Curd Rice with Potato thokku</t>
  </si>
  <si>
    <t>Deepawali spl kari virundhu</t>
  </si>
  <si>
    <t>Double Omelette</t>
  </si>
  <si>
    <t>Dry fish meals</t>
  </si>
  <si>
    <t>Egg dosa</t>
  </si>
  <si>
    <t>Egg fry</t>
  </si>
  <si>
    <t>Egg kurma</t>
  </si>
  <si>
    <t>Egg podimas</t>
  </si>
  <si>
    <t>Fish fry</t>
  </si>
  <si>
    <t>Fish meals</t>
  </si>
  <si>
    <t>Ghee mini sambar idly</t>
  </si>
  <si>
    <t>Ghee podi idly</t>
  </si>
  <si>
    <t>Gobi 65</t>
  </si>
  <si>
    <t>Gobi 66</t>
  </si>
  <si>
    <t>Godhumai dosai with chutney</t>
  </si>
  <si>
    <t>Idly with chicken curry</t>
  </si>
  <si>
    <t>Idly with meen kuzhambu</t>
  </si>
  <si>
    <t>Idly with sambhar and chutney</t>
  </si>
  <si>
    <t>Idly with verkadalai chutney</t>
  </si>
  <si>
    <t>Iral surakkai kolambu</t>
  </si>
  <si>
    <t>Kal dosa</t>
  </si>
  <si>
    <t>Kal Dosai with Chicken Curry</t>
  </si>
  <si>
    <t>Kali with chicken kuzhambu</t>
  </si>
  <si>
    <t>Kali with karuvatu kuzhambu</t>
  </si>
  <si>
    <t>Kali with meen kuzhambu</t>
  </si>
  <si>
    <t>Kanchipuram idli with kaara chutney</t>
  </si>
  <si>
    <t>Karuvau thokku</t>
  </si>
  <si>
    <t>Kavalai fish fry</t>
  </si>
  <si>
    <t>Keerai Kootu</t>
  </si>
  <si>
    <t>Keerai paruppu kadayal</t>
  </si>
  <si>
    <t>Lemon Juice</t>
  </si>
  <si>
    <t>Lemon rice with potato thokku</t>
  </si>
  <si>
    <t>Meen kuzhambu</t>
  </si>
  <si>
    <t>Mixed vegetable sambar</t>
  </si>
  <si>
    <t>Molaga bajji</t>
  </si>
  <si>
    <t>Moor kuzhambu</t>
  </si>
  <si>
    <t>Mushroom Biryani  (Seeraga samba rice)</t>
  </si>
  <si>
    <t>Mushroom Biryani (Basmati Rice)</t>
  </si>
  <si>
    <t>Mutton kuzhambu (with bones)</t>
  </si>
  <si>
    <t>Mutton thokku</t>
  </si>
  <si>
    <t>Nethili karuadu thokku</t>
  </si>
  <si>
    <t xml:space="preserve">Nethili karuvaadu fry </t>
  </si>
  <si>
    <t>Non veg family combo 1</t>
  </si>
  <si>
    <t>Non veg family combo 2</t>
  </si>
  <si>
    <t>Non veg family combo 3</t>
  </si>
  <si>
    <t>Non veg family combo 4</t>
  </si>
  <si>
    <t>Odachi vitta muttai kuzhambu</t>
  </si>
  <si>
    <t>Onion dosa</t>
  </si>
  <si>
    <t>Onion podi dosa</t>
  </si>
  <si>
    <t>Organic karuppu kavuni kanji</t>
  </si>
  <si>
    <t>Party Order sample</t>
  </si>
  <si>
    <t>Paruppu Nei</t>
  </si>
  <si>
    <t>Paruppu payasam</t>
  </si>
  <si>
    <t>Paruppu thakkali kadayal</t>
  </si>
  <si>
    <t>Pepper Chicken</t>
  </si>
  <si>
    <t>Pepper Prawn thokku</t>
  </si>
  <si>
    <t>Podi dosa</t>
  </si>
  <si>
    <t>Podi idly</t>
  </si>
  <si>
    <t>Pomegranate juice</t>
  </si>
  <si>
    <t>Pongal with sambhar and chutney</t>
  </si>
  <si>
    <t>Poori and potato masala</t>
  </si>
  <si>
    <t>Poori vegetable kurma</t>
  </si>
  <si>
    <t>Poori with Chicken kuzhambu</t>
  </si>
  <si>
    <t>Potato Thokku</t>
  </si>
  <si>
    <t>Prawn Chilli</t>
  </si>
  <si>
    <t>Prawn kadaai rice with egg omelette</t>
  </si>
  <si>
    <t>Prawn kurma</t>
  </si>
  <si>
    <t>Rava idli with chutney</t>
  </si>
  <si>
    <t>Rava kesari</t>
  </si>
  <si>
    <t>Rava Upma</t>
  </si>
  <si>
    <t>Rice with chicken gravy</t>
  </si>
  <si>
    <t>Rice with chicken kulambu</t>
  </si>
  <si>
    <t>Rice with prawn thokku</t>
  </si>
  <si>
    <t>Rice with sambar and chicken 65</t>
  </si>
  <si>
    <t>Rice with sambar and chicken 66</t>
  </si>
  <si>
    <t>Rice with sambar and egg fry</t>
  </si>
  <si>
    <t>Rice with sambar and poriyal</t>
  </si>
  <si>
    <t>Sakkarai pongal</t>
  </si>
  <si>
    <t>Seeraga samba mutton biryani</t>
  </si>
  <si>
    <t>Semiya Kichadi</t>
  </si>
  <si>
    <t>Semiya payasam</t>
  </si>
  <si>
    <t>Side dish combo</t>
  </si>
  <si>
    <t>Tamarind rice with egg fry</t>
  </si>
  <si>
    <t>Urulaikizhangu bajji</t>
  </si>
  <si>
    <t>Vada Kulambu</t>
  </si>
  <si>
    <t>Variety rice combo 1</t>
  </si>
  <si>
    <t>Variety rice combo 2</t>
  </si>
  <si>
    <t>Vatha Kulambu</t>
  </si>
  <si>
    <t>Vazhakkai bajji</t>
  </si>
  <si>
    <t>Vazhakkai varuval</t>
  </si>
  <si>
    <t>Veg biriyani-gobi manchurian-sweet</t>
  </si>
  <si>
    <t>Veg Biryani</t>
  </si>
  <si>
    <t>Vegetable kootu</t>
  </si>
  <si>
    <t>Vegetable poriyal</t>
  </si>
  <si>
    <t>Vendakkai kara kozhambu</t>
  </si>
  <si>
    <t>Vendakkai Poriyal</t>
  </si>
  <si>
    <t>Vepamoo rasam</t>
  </si>
  <si>
    <t>Watermelon juice</t>
  </si>
  <si>
    <t>White Rice</t>
  </si>
  <si>
    <t>White veg pulav (Basmati rice)</t>
  </si>
  <si>
    <t xml:space="preserve">Snacks </t>
  </si>
  <si>
    <t>Nonvegfamilycombo2</t>
  </si>
  <si>
    <t>Nonvegfamilycombo3</t>
  </si>
  <si>
    <t>Nonvegfamilycombo4</t>
  </si>
  <si>
    <t>Ricewithsambarandchicken66</t>
  </si>
  <si>
    <t>Karuvauthokku</t>
  </si>
  <si>
    <t>Ingredients</t>
  </si>
  <si>
    <t>Local Vendor Cost</t>
  </si>
  <si>
    <t>Quick commerce cost</t>
  </si>
  <si>
    <t>Difference</t>
  </si>
  <si>
    <t>White rice (regular/parboiled)</t>
  </si>
  <si>
    <t>Basmati rice</t>
  </si>
  <si>
    <t>Seeraga samba rice</t>
  </si>
  <si>
    <t>Karuppu kavuni rice (black rice)</t>
  </si>
  <si>
    <t>Toor dal</t>
  </si>
  <si>
    <t>Moong dal</t>
  </si>
  <si>
    <t>Chana dal</t>
  </si>
  <si>
    <t>Urad dal</t>
  </si>
  <si>
    <t>Wheat flour (atta)</t>
  </si>
  <si>
    <t>Rice flour</t>
  </si>
  <si>
    <t>Gram flour (besan)</t>
  </si>
  <si>
    <t>Rava/Semolina</t>
  </si>
  <si>
    <t>Vermicelli (semiya)</t>
  </si>
  <si>
    <t>Potato (1000g)</t>
  </si>
  <si>
    <t>Onion (1000g)</t>
  </si>
  <si>
    <t>Tomato (1000g)</t>
  </si>
  <si>
    <t>Drumstick (1 piece)</t>
  </si>
  <si>
    <t>Carrot (1000g)</t>
  </si>
  <si>
    <t>Beans (1000g)</t>
  </si>
  <si>
    <t>Cauliflower (gobi) (1 piece)</t>
  </si>
  <si>
    <t>Okra (vendakkai) (1000g)</t>
  </si>
  <si>
    <t>Ridge gourd (peerkangai) (1000g)</t>
  </si>
  <si>
    <t>Bottle gourd (surakkai) (1 piece)</t>
  </si>
  <si>
    <t>Raw banana (vazhakkai) (1 piece)</t>
  </si>
  <si>
    <t>Mushroom (100 g)</t>
  </si>
  <si>
    <t>Spinach/greens (keerai) (100g)</t>
  </si>
  <si>
    <t>Curry leaves (100g)</t>
  </si>
  <si>
    <t>Coriander leaves (100g)</t>
  </si>
  <si>
    <t>Mint leaves (100g)</t>
  </si>
  <si>
    <t>Veppam poo</t>
  </si>
  <si>
    <t>Pumpkin (500g)</t>
  </si>
  <si>
    <t>Brinjal/eggplant (1000g)</t>
  </si>
  <si>
    <t>Cabbage (1 piece)</t>
  </si>
  <si>
    <t>Capsicum (1000g)</t>
  </si>
  <si>
    <t>Green chillies (1000g)</t>
  </si>
  <si>
    <t>Ginger (1000g)</t>
  </si>
  <si>
    <t>Garlic (1000g)</t>
  </si>
  <si>
    <t>Chicken (1000g)</t>
  </si>
  <si>
    <t>Eggs (1 piece)</t>
  </si>
  <si>
    <t>Mutton: With bones (1000g)</t>
  </si>
  <si>
    <t>Ayala (mackerel) (1000g)</t>
  </si>
  <si>
    <t>Kavalai (1000g)</t>
  </si>
  <si>
    <t>Nethili (anchovies) karuvaadu (1000g)</t>
  </si>
  <si>
    <t>General fish varieties (1000g)</t>
  </si>
  <si>
    <t>Prawns (1000g)</t>
  </si>
  <si>
    <t>Crab (1000g)</t>
  </si>
  <si>
    <t>Vanjaram karuvaadu (1000g)</t>
  </si>
  <si>
    <t>Cumin seeds</t>
  </si>
  <si>
    <t>Mustard seeds</t>
  </si>
  <si>
    <t>Fenugreek seeds</t>
  </si>
  <si>
    <t>Fennel seeds</t>
  </si>
  <si>
    <t>Pepper</t>
  </si>
  <si>
    <t>Cinnamon</t>
  </si>
  <si>
    <t>Cloves</t>
  </si>
  <si>
    <t>Cardamom</t>
  </si>
  <si>
    <t>Bay leaves</t>
  </si>
  <si>
    <t>Star anise</t>
  </si>
  <si>
    <t>Turmeric powder (100g)</t>
  </si>
  <si>
    <t>Red chilli powder (200g)</t>
  </si>
  <si>
    <t>Coriander powder (100g)</t>
  </si>
  <si>
    <t>Cumin powder (100g)</t>
  </si>
  <si>
    <t>Garam masala (100g)</t>
  </si>
  <si>
    <t>Chicken/mutton masala (100g)</t>
  </si>
  <si>
    <t>Biryani masala (100g)</t>
  </si>
  <si>
    <t>Sambar powder (100g)</t>
  </si>
  <si>
    <t>Rasam powder (100g)</t>
  </si>
  <si>
    <t>Asafoetida (hing) (100g)</t>
  </si>
  <si>
    <t>Poppy seeds (100g)</t>
  </si>
  <si>
    <t>Stone flower (kalpaasi)</t>
  </si>
  <si>
    <t>Curd/yogurt (1000ml)</t>
  </si>
  <si>
    <t>Ghee (clarified butter) (1000ml)</t>
  </si>
  <si>
    <t>Coconut (fresh/grated) (1 piece)</t>
  </si>
  <si>
    <t>Tamarind (1000g)</t>
  </si>
  <si>
    <t>Lemon (1000g)</t>
  </si>
  <si>
    <t>Jaggery (1000g)</t>
  </si>
  <si>
    <t>Sugar (1000g)</t>
  </si>
  <si>
    <t>Cashews (1000g)</t>
  </si>
  <si>
    <t>Raisins (1000g)</t>
  </si>
  <si>
    <t>Cooking oil (1000ml)</t>
  </si>
  <si>
    <t>Watermelon (1000g)</t>
  </si>
  <si>
    <t>Pomegranate (1000g)</t>
  </si>
  <si>
    <t>Salt (1000g)</t>
  </si>
  <si>
    <t>Water (per can)</t>
  </si>
  <si>
    <t>Roasted gram dal (pottukadalai) (1000g)</t>
  </si>
  <si>
    <t>Groundnuts (1000g)</t>
  </si>
  <si>
    <t>Dried red chillies</t>
  </si>
  <si>
    <t>ORDER ID</t>
  </si>
  <si>
    <t>DATE</t>
  </si>
  <si>
    <t>DAY</t>
  </si>
  <si>
    <t>CATEGORY(BREAKFAST/LUNCH/SNACKS/DINNER)</t>
  </si>
  <si>
    <t>TYPE(SUBSCRIPTION/REGULAR)</t>
  </si>
  <si>
    <t>DISH NAME</t>
  </si>
  <si>
    <t>QUANTITY</t>
  </si>
  <si>
    <t>ORDER VALUE</t>
  </si>
  <si>
    <t>CLASSIFICATION(Veg/Non-veg/Beverage)</t>
  </si>
  <si>
    <t>Date2</t>
  </si>
  <si>
    <t>CS-250331-0219</t>
  </si>
  <si>
    <t>Tuesday</t>
  </si>
  <si>
    <t>SUBSCRIPTION</t>
  </si>
  <si>
    <t>Rice(750ml), Sambar(250ml),Vendakkai fry(100ml),keerai poriyal(100ml),Mor (100ml),Rasam(100ml), Appalam</t>
  </si>
  <si>
    <t>CS-250331-0242</t>
  </si>
  <si>
    <t>Egg kothu chappathi(500ml) with gravy (100ml)</t>
  </si>
  <si>
    <t>METRIC</t>
  </si>
  <si>
    <t>VALUE</t>
  </si>
  <si>
    <t>CS-250331-0232</t>
  </si>
  <si>
    <t>Ragi idiyapam(4no.s) with white kurma(250ml)</t>
  </si>
  <si>
    <t xml:space="preserve">Total Orders </t>
  </si>
  <si>
    <t>CS-250331-0246</t>
  </si>
  <si>
    <t>Operating Days</t>
  </si>
  <si>
    <t>CS-250331-0236</t>
  </si>
  <si>
    <t>Average Order per day</t>
  </si>
  <si>
    <t>CS-250331-0257</t>
  </si>
  <si>
    <t>Minimum orders (single day)</t>
  </si>
  <si>
    <t>CS-250401-0026</t>
  </si>
  <si>
    <t>REGULAR</t>
  </si>
  <si>
    <t>Maximum orders single day</t>
  </si>
  <si>
    <t>CS-250401-0074</t>
  </si>
  <si>
    <t>Vegetable poriyal, Chicken thokku, Sambar</t>
  </si>
  <si>
    <t>CS-250401-0087</t>
  </si>
  <si>
    <t>Average order value</t>
  </si>
  <si>
    <t>CS-250401-0136</t>
  </si>
  <si>
    <t>CS-250401-0142</t>
  </si>
  <si>
    <t>CS-250401-0174</t>
  </si>
  <si>
    <t>Wednesday</t>
  </si>
  <si>
    <t>Ragi Chapathi(4no.s) with mushroom gravy(250ml)</t>
  </si>
  <si>
    <t>CS-250401-0177</t>
  </si>
  <si>
    <t>CS-250401-0183</t>
  </si>
  <si>
    <t>Rice(750ml), Potato fry(100ml),kathirikkai kootu(100ml),Mor kuzhambu(250ml),Mor(100ml),Rasam(100ml), Appalam</t>
  </si>
  <si>
    <t>CS-250401-0189</t>
  </si>
  <si>
    <t>CS-250401-0193</t>
  </si>
  <si>
    <t>CS-250401-0192</t>
  </si>
  <si>
    <t>CS-250401-0208</t>
  </si>
  <si>
    <t>CS-250401-0206</t>
  </si>
  <si>
    <t>Poori(4no.s) with chicken kuzhambu (250ml)</t>
  </si>
  <si>
    <t>CS-250401-0201</t>
  </si>
  <si>
    <t>CS-250401-0210</t>
  </si>
  <si>
    <t>CS-250402-0025</t>
  </si>
  <si>
    <t>Organic Karuppu kavuni kanji</t>
  </si>
  <si>
    <t>CS-250402-0208</t>
  </si>
  <si>
    <t>Thursday</t>
  </si>
  <si>
    <t>Rice(750ml), payaru kulambu(250ml), cabbage poriyal(100ml), pudalangai kootu (100ml), rasam(100ml), mor(100ml), appalam</t>
  </si>
  <si>
    <t>CS-250402-0219</t>
  </si>
  <si>
    <t>Uluthan kali (500ml) with jaggery</t>
  </si>
  <si>
    <t>CS-250402-0228</t>
  </si>
  <si>
    <t>Wheat samba upma(500ml) with coconut chutney(100ml)</t>
  </si>
  <si>
    <t>CS-250402-0226</t>
  </si>
  <si>
    <t>CS-250402-0239</t>
  </si>
  <si>
    <t>Rava bath (500ml) with coconut chutney(100ml)</t>
  </si>
  <si>
    <t>CS-250402-0238</t>
  </si>
  <si>
    <t>Chicken fried rice (500ml) with sauce</t>
  </si>
  <si>
    <t>CS-250402-0231</t>
  </si>
  <si>
    <t>CS-250402-0223</t>
  </si>
  <si>
    <t>CS-250402-0230</t>
  </si>
  <si>
    <t>Rice(750ml), tomato curry(250ml), vazhakkai varuval(200ml), rasam(100ml) mor (100ml), appalam, pickle</t>
  </si>
  <si>
    <t>CS-250402-0233</t>
  </si>
  <si>
    <t>CS-250402-0241</t>
  </si>
  <si>
    <t>Steamed rice(500ml), veg gravy(250ml),chicken 65(2500ml), poriyal(100ml), curd(100ml)</t>
  </si>
  <si>
    <t>CS-250403-0053</t>
  </si>
  <si>
    <t>Keerai kootu</t>
  </si>
  <si>
    <t>CS-250403-0054</t>
  </si>
  <si>
    <t>CS-250403-0075</t>
  </si>
  <si>
    <t>CS-250403-0078</t>
  </si>
  <si>
    <t>CS-250403-0098</t>
  </si>
  <si>
    <t>Mushroom Biryani(seeraga samba rice)</t>
  </si>
  <si>
    <t>Curd rice with potato thokku</t>
  </si>
  <si>
    <t>CS-250403-0108</t>
  </si>
  <si>
    <t>White rice</t>
  </si>
  <si>
    <t>CS-250403-0118</t>
  </si>
  <si>
    <t>CS-250403-0205</t>
  </si>
  <si>
    <t>Friday</t>
  </si>
  <si>
    <t>CS-250403-0206</t>
  </si>
  <si>
    <t>Adai dosa (3 no.s) with kaara chutney (250ml)</t>
  </si>
  <si>
    <t>CS-250403-0204</t>
  </si>
  <si>
    <t>Rice(750ml), keerai kulambu (250ml), carrot poriyal(100ml), chowchow kootu (100ml), rasam (100ml), mor(100ml), appalam</t>
  </si>
  <si>
    <t>CS-250403-0210</t>
  </si>
  <si>
    <t>CS-250403-0216</t>
  </si>
  <si>
    <t>CS-250403-0211</t>
  </si>
  <si>
    <t>CS-250403-0219</t>
  </si>
  <si>
    <t>Date</t>
  </si>
  <si>
    <t>CS-250403-0218</t>
  </si>
  <si>
    <t>CS-250403-0226</t>
  </si>
  <si>
    <t>CS-250403-0232</t>
  </si>
  <si>
    <t>CS-250403-0235</t>
  </si>
  <si>
    <t>CS-250404-0003</t>
  </si>
  <si>
    <t>CS-250404-0018</t>
  </si>
  <si>
    <t>CS-250404-0020</t>
  </si>
  <si>
    <t>White veg pulav(basmati rice)</t>
  </si>
  <si>
    <t>CS-250404-0047</t>
  </si>
  <si>
    <t>Chicken family combo</t>
  </si>
  <si>
    <t>CS-250404-0053</t>
  </si>
  <si>
    <t>Potato thokku</t>
  </si>
  <si>
    <t>CS-250404-0055</t>
  </si>
  <si>
    <t>CS-250404-0068</t>
  </si>
  <si>
    <t>CS-250404-00215</t>
  </si>
  <si>
    <t>Saturday</t>
  </si>
  <si>
    <t>CS-250404-0223</t>
  </si>
  <si>
    <t>CS-250404-0224</t>
  </si>
  <si>
    <t>CS-250404-0225</t>
  </si>
  <si>
    <t>CS-250404-0226</t>
  </si>
  <si>
    <t>CS-250404-0229</t>
  </si>
  <si>
    <t>CS-250404-0233</t>
  </si>
  <si>
    <t>Rice(750ml), payaru kulambu(250ml), pudalangai kootu (100ml), rasam(100ml), mor(100ml), appalam,picle</t>
  </si>
  <si>
    <t>CS-250405-0007</t>
  </si>
  <si>
    <t>CS-250405-0088</t>
  </si>
  <si>
    <t>CS-250405-0113</t>
  </si>
  <si>
    <t>CS-250405-0127</t>
  </si>
  <si>
    <t>Count of TYPE(SUBSCRIPTION/REGULAR)</t>
  </si>
  <si>
    <t>CS-250405-0141</t>
  </si>
  <si>
    <t>CS-250405-0170</t>
  </si>
  <si>
    <t>CS-250405-0186</t>
  </si>
  <si>
    <t>CS-250405-0195</t>
  </si>
  <si>
    <t>CS-250405-0198</t>
  </si>
  <si>
    <t>Vatha kulambu</t>
  </si>
  <si>
    <t>CS-250405-0231</t>
  </si>
  <si>
    <t>CS-250405-0255</t>
  </si>
  <si>
    <t>Sunday</t>
  </si>
  <si>
    <t>CS-250405-0259</t>
  </si>
  <si>
    <t>CS-250405-0266</t>
  </si>
  <si>
    <t>Tomato rice(500ml), chicken 65 (100ml), raita (100ml)</t>
  </si>
  <si>
    <t>CS-250405-0267</t>
  </si>
  <si>
    <t>CS-250405-0273</t>
  </si>
  <si>
    <t>CS-250405-0274</t>
  </si>
  <si>
    <t>CS-250406-0045</t>
  </si>
  <si>
    <t>CS-250406-0048</t>
  </si>
  <si>
    <t>Pepper prawn thokku</t>
  </si>
  <si>
    <t>nethili karuvadu thokku</t>
  </si>
  <si>
    <t>CS-250406-0084</t>
  </si>
  <si>
    <t>Monday</t>
  </si>
  <si>
    <t>CS-250406-0087</t>
  </si>
  <si>
    <t>CS-250406-0115</t>
  </si>
  <si>
    <t>CS-250406-0123</t>
  </si>
  <si>
    <t>sambar</t>
  </si>
  <si>
    <t>CS-250406-0141</t>
  </si>
  <si>
    <t>CS-250406-0149</t>
  </si>
  <si>
    <t>CS-250406-0157</t>
  </si>
  <si>
    <t>CS-250406-0206</t>
  </si>
  <si>
    <t>Mutton kuzhambu</t>
  </si>
  <si>
    <t>CS-250406-0212</t>
  </si>
  <si>
    <t>CS-250406-0215</t>
  </si>
  <si>
    <t>GRAPH 5: Revenue Category-wise Distribution</t>
  </si>
  <si>
    <t>CS-250406-0224</t>
  </si>
  <si>
    <t>Sum of ORDER VALUE</t>
  </si>
  <si>
    <t>CS-250406-0242</t>
  </si>
  <si>
    <t>Pepper chicken</t>
  </si>
  <si>
    <t>CS-250406-0343</t>
  </si>
  <si>
    <t>Rice(750ml), vatha kulambu(250ml), beetroot poriyal(100ml), sorakkai kootu(100ml), rasam (100ml), mor (100ml), appalam</t>
  </si>
  <si>
    <t>CS-250406-0344</t>
  </si>
  <si>
    <t>Samba wheat kichadi(500l) with coconut chutney (100ml)</t>
  </si>
  <si>
    <t>CS-250406-0347</t>
  </si>
  <si>
    <t>CS-250406-0348</t>
  </si>
  <si>
    <t>Mini ghee podi idly (500ml) with chutney (250ml)</t>
  </si>
  <si>
    <t>CS-250406-0352</t>
  </si>
  <si>
    <t>CS-250406-0363</t>
  </si>
  <si>
    <t>Dosa (3no.s) with pepper chicken curry(250ml)</t>
  </si>
  <si>
    <t>CS-250406-0368</t>
  </si>
  <si>
    <t>CS-250406-0369</t>
  </si>
  <si>
    <t>Ghee rice (500ml) with 100ml gravy</t>
  </si>
  <si>
    <t>CS-250406-0375</t>
  </si>
  <si>
    <t>CS-250406-0355</t>
  </si>
  <si>
    <t>Lemon rice (500ml) with poriyal(100ml)</t>
  </si>
  <si>
    <t>CS-250407-0046</t>
  </si>
  <si>
    <t>CS-250407-0074</t>
  </si>
  <si>
    <t>CS-250407-0109</t>
  </si>
  <si>
    <t>Vepampoo rasam</t>
  </si>
  <si>
    <t>CS-250407-0129</t>
  </si>
  <si>
    <t>CS-250407-0147</t>
  </si>
  <si>
    <t>CS-250407-0158</t>
  </si>
  <si>
    <t>CS-250407-0220</t>
  </si>
  <si>
    <t>CS-250407-0233</t>
  </si>
  <si>
    <t>CS-250407-0227</t>
  </si>
  <si>
    <t>CS-250407-0237</t>
  </si>
  <si>
    <t>CS-250407-0231</t>
  </si>
  <si>
    <t>CS-250407-0241</t>
  </si>
  <si>
    <t>CS-250407-0257</t>
  </si>
  <si>
    <t>Rice(750ml),sambar(250ml),vendakkai fry(100ml), keerai poriyal(100ml), rsam(100ml), mor(100ml),appalam</t>
  </si>
  <si>
    <t>CS-250407-0261</t>
  </si>
  <si>
    <t>CS-250407-0247</t>
  </si>
  <si>
    <t>CS-250408-0025</t>
  </si>
  <si>
    <t>CS-250408-0047</t>
  </si>
  <si>
    <t>CS-250408-0051</t>
  </si>
  <si>
    <t>Vendakkai poriyal</t>
  </si>
  <si>
    <t>CS-250408-0053</t>
  </si>
  <si>
    <t>CS-250408-0069</t>
  </si>
  <si>
    <t>CS-250408-0087</t>
  </si>
  <si>
    <t>CS-250408-0092</t>
  </si>
  <si>
    <t>CS-250408-0133</t>
  </si>
  <si>
    <t>CS-250408-0240</t>
  </si>
  <si>
    <t>CS-250408-0238</t>
  </si>
  <si>
    <t>CS-250408-0137</t>
  </si>
  <si>
    <t>CS-250408-0153</t>
  </si>
  <si>
    <t>CS-250408-0187</t>
  </si>
  <si>
    <t>Rice(750ml), mor kulambu(250ml),potato fry(100ml),kathirikkai kootu(100ml),rasam(100ml),mor(100ml),appalam</t>
  </si>
  <si>
    <t>CS-250408-0185</t>
  </si>
  <si>
    <t>CS-250408-0189</t>
  </si>
  <si>
    <t>CS-250408-0191</t>
  </si>
  <si>
    <t>CS-250408-0193</t>
  </si>
  <si>
    <t>CS-250408-0194</t>
  </si>
  <si>
    <t>CS-250408-0196</t>
  </si>
  <si>
    <t>CS-250408-0200</t>
  </si>
  <si>
    <t>CS-250408-0204</t>
  </si>
  <si>
    <t>CS-250408-0230</t>
  </si>
  <si>
    <t>CS-250409-0030</t>
  </si>
  <si>
    <t>CS-250409-0033</t>
  </si>
  <si>
    <t>CS-250409-0043</t>
  </si>
  <si>
    <t>CS-250409-0048</t>
  </si>
  <si>
    <t>CS-250409-0062</t>
  </si>
  <si>
    <t>CS-250409-0065</t>
  </si>
  <si>
    <t>CS-250409-0075</t>
  </si>
  <si>
    <t>CS-250409-0098</t>
  </si>
  <si>
    <t>CS-250409-0170</t>
  </si>
  <si>
    <t>CS-250409-0201</t>
  </si>
  <si>
    <t>Lemon rice (500ml) with egg pepper fry (2no.s)</t>
  </si>
  <si>
    <t>CS-250409-0207</t>
  </si>
  <si>
    <t>CS-250409-0208</t>
  </si>
  <si>
    <t>CS-250409-0213</t>
  </si>
  <si>
    <t>CS-250409-0209</t>
  </si>
  <si>
    <t>CS-250409-0220</t>
  </si>
  <si>
    <t>CS-250409-0221</t>
  </si>
  <si>
    <t>CS-250409-0240</t>
  </si>
  <si>
    <t>CS-250409-0237</t>
  </si>
  <si>
    <t>CS-250410-0037</t>
  </si>
  <si>
    <t>CS-250410-0080</t>
  </si>
  <si>
    <t>CS-250410-0094</t>
  </si>
  <si>
    <t>CS-250410-0101</t>
  </si>
  <si>
    <t>CS-250410-0155</t>
  </si>
  <si>
    <t>CS-250410-0202</t>
  </si>
  <si>
    <t>CS-250410-0204</t>
  </si>
  <si>
    <t>Event_Type</t>
  </si>
  <si>
    <t>Event_Name</t>
  </si>
  <si>
    <t>Impact</t>
  </si>
  <si>
    <t>Notes</t>
  </si>
  <si>
    <t>05-04-2025</t>
  </si>
  <si>
    <t>Weekend</t>
  </si>
  <si>
    <t>Low</t>
  </si>
  <si>
    <t>Weekend — moderate evening demand</t>
  </si>
  <si>
    <t>06-04-2025</t>
  </si>
  <si>
    <t>Weekend/Festival</t>
  </si>
  <si>
    <t>Sunday / Sri Rama Navami</t>
  </si>
  <si>
    <t>Likely slight morning demand increase</t>
  </si>
  <si>
    <t>10-04-2025</t>
  </si>
  <si>
    <t>Holiday</t>
  </si>
  <si>
    <t>Mahaveer Jayanti</t>
  </si>
  <si>
    <t>Public holiday — expect lower activity</t>
  </si>
  <si>
    <t>11-04-2025</t>
  </si>
  <si>
    <t>Festival</t>
  </si>
  <si>
    <t>Panguni Uthiram</t>
  </si>
  <si>
    <t>Cultural festival — possible small demand bump</t>
  </si>
  <si>
    <t>12-04-2025</t>
  </si>
  <si>
    <t>13-04-2025</t>
  </si>
  <si>
    <t>Weekend — typical demand</t>
  </si>
  <si>
    <t>14-04-2025</t>
  </si>
  <si>
    <t>Tamil New Year (Puthandu)</t>
  </si>
  <si>
    <t>High</t>
  </si>
  <si>
    <t>Major Tamil festival — expect 2–3× demand</t>
  </si>
  <si>
    <t>18-04-2025</t>
  </si>
  <si>
    <t>Good Friday</t>
  </si>
  <si>
    <t>Public holiday — likely slower business activity</t>
  </si>
  <si>
    <t>19-04-2025</t>
  </si>
  <si>
    <t>20-04-2025</t>
  </si>
  <si>
    <t>23-04-2025</t>
  </si>
  <si>
    <t>Thirunavukarasu Guru Poojai</t>
  </si>
  <si>
    <t>Low/Medium</t>
  </si>
  <si>
    <t>Temple observance — modest demand impact</t>
  </si>
  <si>
    <t>26-04-2025</t>
  </si>
  <si>
    <t>27-04-2025</t>
  </si>
  <si>
    <t>30-04-2025</t>
  </si>
  <si>
    <t>Akshaya Tritiya</t>
  </si>
  <si>
    <t>Auspicious day — possible increased orders</t>
  </si>
  <si>
    <t>CS-250410-0205</t>
  </si>
  <si>
    <t>CS-250410-0210</t>
  </si>
  <si>
    <t>Keerai Sadham (500ml) with poriyal (100 ml)</t>
  </si>
  <si>
    <t>CS-250410-0224</t>
  </si>
  <si>
    <t>CS-250410-0223</t>
  </si>
  <si>
    <t>Rice (750ml),Keerai Kadayal(250ml), Carrot Poriyal (200ml), Rasam (100ml), Mor (100ml), Appalam, Pickle</t>
  </si>
  <si>
    <t>CS-250410-0232</t>
  </si>
  <si>
    <t>CS-250410-0238</t>
  </si>
  <si>
    <t>CS-250410-0208</t>
  </si>
  <si>
    <t>Ragi dosa (4 no.s) with Sambar (250ml) and Chutney (100ml)</t>
  </si>
  <si>
    <t>CS-250411-0166</t>
  </si>
  <si>
    <t>CS-250411-0169</t>
  </si>
  <si>
    <t>CS-250411-0174</t>
  </si>
  <si>
    <t>CS-250411-0172</t>
  </si>
  <si>
    <t>Steamed Rice (500ml), Egg gravy with 2 eggs, Rasam (100ml), Appalam</t>
  </si>
  <si>
    <t>CS-250411-0173</t>
  </si>
  <si>
    <t>Malli rice (500ml) with poriyal (100ml)</t>
  </si>
  <si>
    <t>CS-250411-0177</t>
  </si>
  <si>
    <t>CS-250411-0198</t>
  </si>
  <si>
    <t>Rice (750ml), Payaru Kulambu (250ml), Pudalangai kootu (200ml), Rasam (100ml), Mor (100ml), Appalam, Pickle</t>
  </si>
  <si>
    <t>CS-250412-0066</t>
  </si>
  <si>
    <t>CS-250412-0142</t>
  </si>
  <si>
    <t>CS-250412-0163</t>
  </si>
  <si>
    <t>CS-250412-0188</t>
  </si>
  <si>
    <t>CS-250412-0207</t>
  </si>
  <si>
    <t>CS-250412-0274</t>
  </si>
  <si>
    <t>Chapathi (4 pcs) with Chicken curry (250ml)</t>
  </si>
  <si>
    <t>CS-250412-0276</t>
  </si>
  <si>
    <t>CS-250412-0281</t>
  </si>
  <si>
    <t>CS-250412-0282</t>
  </si>
  <si>
    <t>CS-250412-0272</t>
  </si>
  <si>
    <t>Appam (3 nos) with coconut milk (250ml)</t>
  </si>
  <si>
    <t>CS-250412-0286</t>
  </si>
  <si>
    <t>Fish curry (500ml) (1 pcs), Fish fry (2 pcs) (serves 2)</t>
  </si>
  <si>
    <t>CS-250413-0041</t>
  </si>
  <si>
    <t>CS-250413-0115</t>
  </si>
  <si>
    <t>CS-250413-0118</t>
  </si>
  <si>
    <t>CS-250413-0172</t>
  </si>
  <si>
    <t>CS-250413-0182</t>
  </si>
  <si>
    <t>CS-250413-0221</t>
  </si>
  <si>
    <t>CS-250413-0274</t>
  </si>
  <si>
    <t>CS-250413-0293</t>
  </si>
  <si>
    <t>CS-250413-0298</t>
  </si>
  <si>
    <t>CS-250413-0310</t>
  </si>
  <si>
    <t>Idly (4 nos) with Sambar (250 ml) and green chutney (100ml)</t>
  </si>
  <si>
    <t>CS-250413-0307</t>
  </si>
  <si>
    <t>CS-250413-0315</t>
  </si>
  <si>
    <t>CS-250413-0317</t>
  </si>
  <si>
    <t>CS-250413-0316</t>
  </si>
  <si>
    <t>Rice (750ml), Vendakkai kara kulambu (250ml), Beetroot poriyal(200ml), Rasam (100ml), Mor (100ml), Appalam, Pickle</t>
  </si>
  <si>
    <t>CS-250413-0386</t>
  </si>
  <si>
    <t>CS-250414-0190</t>
  </si>
  <si>
    <t>Rice (500ml), Sambar (250ml), Chicken 65 (100ml), Poriyal (100ml), Rasam (100ml)</t>
  </si>
  <si>
    <t>CS-250414-0191</t>
  </si>
  <si>
    <t>CS-250414-0193</t>
  </si>
  <si>
    <t>CS-250414-0194</t>
  </si>
  <si>
    <t>Chapathi (4 nos) with Veg gravy (250ml)</t>
  </si>
  <si>
    <t>Rice (750ml), Mixed Vegetable sambar (250ml), Potato fry (200ml), Rasam (100ml), Mor (100ml), Appalam, Pickle</t>
  </si>
  <si>
    <t>CS-250414-0197</t>
  </si>
  <si>
    <t>CS-250414-0199</t>
  </si>
  <si>
    <t>Steamed rice (500ml), Dhal (250ml), Chicken 65 (100ml), Boiled egg (1 nos), Rasam (100ml)</t>
  </si>
  <si>
    <t>CS-250414-0202</t>
  </si>
  <si>
    <t>CS-250414-0206</t>
  </si>
  <si>
    <t>Chapathi (4 pcs) with Mushroom gravy (250ml)</t>
  </si>
  <si>
    <t>CS-250414-0207</t>
  </si>
  <si>
    <t>Sambar (500ml), Keerai poriyal (250ml) (serves 2)</t>
  </si>
  <si>
    <t>CS-250414-0214</t>
  </si>
  <si>
    <t>CS-250415-0040</t>
  </si>
  <si>
    <t>Nethili karuvadu fry</t>
  </si>
  <si>
    <t>CS-250415-0061</t>
  </si>
  <si>
    <t>CS-250415-0098</t>
  </si>
  <si>
    <t>CS-250415-0161</t>
  </si>
  <si>
    <t>Idly (4 pcs) with Fish kulambu (250ml)</t>
  </si>
  <si>
    <t>CS-250415-0159</t>
  </si>
  <si>
    <t>CS-250415-0167</t>
  </si>
  <si>
    <t>Pesarattu dosa(3no.s) with kaara chutney(250ml), Omelette (1 nos)</t>
  </si>
  <si>
    <t>CS-250415-0166</t>
  </si>
  <si>
    <t>CS-250415-0179</t>
  </si>
  <si>
    <t>Rice (750ml), Paruppu urundai kulambu (250ml), Keerai Poriyal (200ml), Rasam (100ml), Mor (100ml), Appalam, Pickle</t>
  </si>
  <si>
    <t>Steamed rice(750ml), veg gravy(250ml), chicken 65(250ml), poriyal(100ml), curd(100ml)</t>
  </si>
  <si>
    <t>Steamed rice (500ml), Fish gravy (250ml) with pcs, Rasam (100ml)</t>
  </si>
  <si>
    <t>CS-250415-0176</t>
  </si>
  <si>
    <t>CS-250415-0188</t>
  </si>
  <si>
    <t>CS-250415-0181</t>
  </si>
  <si>
    <t>CS-250415-0183</t>
  </si>
  <si>
    <t>Mor kulambu (500ml), Potato fry (250ml) (serves2)</t>
  </si>
  <si>
    <t>CS-250416-0041</t>
  </si>
  <si>
    <t>CS-250416-0059</t>
  </si>
  <si>
    <t>CS-250416-0074</t>
  </si>
  <si>
    <t>CS-250416-0105</t>
  </si>
  <si>
    <t>CS-250416-0107</t>
  </si>
  <si>
    <t>CS-250416-0110</t>
  </si>
  <si>
    <t>Prawn kadai rice with egg omelette</t>
  </si>
  <si>
    <t>CS-250416-0199</t>
  </si>
  <si>
    <t>CS-250416-0200</t>
  </si>
  <si>
    <t>CS-250416-0209</t>
  </si>
  <si>
    <t>CS-250416-0210</t>
  </si>
  <si>
    <t>CS-250416-0212</t>
  </si>
  <si>
    <t>CS-250416-0217</t>
  </si>
  <si>
    <t>CS-250416-0224</t>
  </si>
  <si>
    <t>CS-250416-0225</t>
  </si>
  <si>
    <t>Rice (750ml), Tomato curry (250ml), vazhakkai varuval (200ml), Rasam (100ml), Mor (100ml), Appalam, Pickle</t>
  </si>
  <si>
    <t>Payaru kulambu (500ml), Pudalangai kootu (250ml) (serves 2)</t>
  </si>
  <si>
    <t>Coconut rice (500ml) with poriyal (100ml)</t>
  </si>
  <si>
    <t>CS-250416-0205</t>
  </si>
  <si>
    <t>CS-250417-0025</t>
  </si>
  <si>
    <t>White veg pulav (Basmathi rice)</t>
  </si>
  <si>
    <t>CS-250417-0062</t>
  </si>
  <si>
    <t>CS-250417-0078</t>
  </si>
  <si>
    <t>CS-250417-0094</t>
  </si>
  <si>
    <t>CS-250417-0161</t>
  </si>
  <si>
    <t>Steamed rice (500ml), Rasam (250ml), Chicken uppu kari(100ml)</t>
  </si>
  <si>
    <t>CS-250417-0191</t>
  </si>
  <si>
    <t>CS-250417-0197</t>
  </si>
  <si>
    <t>CS-250417-0202</t>
  </si>
  <si>
    <t>CS-250417-0208</t>
  </si>
  <si>
    <t>Idly (4 nos) with vada curry (250ml)</t>
  </si>
  <si>
    <t>CS-250417-0203</t>
  </si>
  <si>
    <t>Rice (750ml), Keerai kadayal (250ml), Carrot poriyal (200ml), Rasam (100ml), Mor (100ml), Appalam, Pickle</t>
  </si>
  <si>
    <t>CS-250418-0041</t>
  </si>
  <si>
    <t>CS-250418-0059</t>
  </si>
  <si>
    <t>CS-250418-0060</t>
  </si>
  <si>
    <t>Mor kuzhambu</t>
  </si>
  <si>
    <t>CS-250418-0093</t>
  </si>
  <si>
    <t xml:space="preserve">Egg fry </t>
  </si>
  <si>
    <t>CS-250418-0094</t>
  </si>
  <si>
    <t>CS-250418-0097</t>
  </si>
  <si>
    <t>CS-250418-0113</t>
  </si>
  <si>
    <t>CS-250418-0136</t>
  </si>
  <si>
    <t>CS-250418-0155</t>
  </si>
  <si>
    <t>CS-250418-0156</t>
  </si>
  <si>
    <t>CS-250418-0209</t>
  </si>
  <si>
    <t>Ven pongal(500ml) with sambar (250ml) and coconut chutney (100ml)</t>
  </si>
  <si>
    <t>CS-250418-0210</t>
  </si>
  <si>
    <t>CS-250418-0211</t>
  </si>
  <si>
    <t>CS-250418-0212</t>
  </si>
  <si>
    <t>CS-250418-0226</t>
  </si>
  <si>
    <t>CS-250418-0219</t>
  </si>
  <si>
    <t>CS-250418-0222</t>
  </si>
  <si>
    <t>CS-250418-0229</t>
  </si>
  <si>
    <t>CS-250418-0213</t>
  </si>
  <si>
    <t>CS-250419-0040</t>
  </si>
  <si>
    <t>CS-250419-0053</t>
  </si>
  <si>
    <t>CS-250419-0063</t>
  </si>
  <si>
    <t>CS-250419-0080</t>
  </si>
  <si>
    <t>CS-250419-0086</t>
  </si>
  <si>
    <t>CS-250419-0132</t>
  </si>
  <si>
    <t>CS-250419-0147</t>
  </si>
  <si>
    <t>CS-250419-0207</t>
  </si>
  <si>
    <t>Appam (3 pcs) with Chicken gravy (250ml)</t>
  </si>
  <si>
    <t>CS-250419-0208</t>
  </si>
  <si>
    <t>CS-250419-0216</t>
  </si>
  <si>
    <t>Tomato rice(500ml) with raita (100ml)</t>
  </si>
  <si>
    <t>CS-250419-0219</t>
  </si>
  <si>
    <t>CS-250419-0268</t>
  </si>
  <si>
    <t>CS-250419-0288</t>
  </si>
  <si>
    <t>CS-250420-0006</t>
  </si>
  <si>
    <t>CS-250420-0008</t>
  </si>
  <si>
    <t>CS-250420-0012</t>
  </si>
  <si>
    <t>CS-250420-0032</t>
  </si>
  <si>
    <t>CS-250420-0045</t>
  </si>
  <si>
    <t>CS-250420-0090</t>
  </si>
  <si>
    <t>CS-250420-0097</t>
  </si>
  <si>
    <t>CS-250420-0230</t>
  </si>
  <si>
    <t>CS-250420-0295</t>
  </si>
  <si>
    <t>CS-250420-0293</t>
  </si>
  <si>
    <t>CS-250420-0301</t>
  </si>
  <si>
    <t>CS-250420-0302</t>
  </si>
  <si>
    <t>CS-250420-0307</t>
  </si>
  <si>
    <t>CS-250421-0157</t>
  </si>
  <si>
    <t>CS-250421-0159</t>
  </si>
  <si>
    <t>CS-250421-0162</t>
  </si>
  <si>
    <t>CS-250421-0175</t>
  </si>
  <si>
    <t>CS-250421-0179</t>
  </si>
  <si>
    <t>CS-250421-0188</t>
  </si>
  <si>
    <t>CS-250422-0055</t>
  </si>
  <si>
    <t>CS-250422-0091</t>
  </si>
  <si>
    <t>CS-250422-0111</t>
  </si>
  <si>
    <t>CS-250422-0113</t>
  </si>
  <si>
    <t>CS-250422-0156</t>
  </si>
  <si>
    <t>Chapathi with kurma</t>
  </si>
  <si>
    <t>CS-250422-0174</t>
  </si>
  <si>
    <t>CS-250422-0181</t>
  </si>
  <si>
    <t>CS-250422-0178</t>
  </si>
  <si>
    <t>CS-250422-0182</t>
  </si>
  <si>
    <t>CS-250422-0183</t>
  </si>
  <si>
    <t>CS-250422-0184</t>
  </si>
  <si>
    <t>CS-250422-0191</t>
  </si>
  <si>
    <t>CS-250423-0055</t>
  </si>
  <si>
    <t>CS-250423-0071</t>
  </si>
  <si>
    <t>CS-250423-0090</t>
  </si>
  <si>
    <t xml:space="preserve">Crab kurma </t>
  </si>
  <si>
    <t>CS-250423-0115</t>
  </si>
  <si>
    <t>CS-250423-0191</t>
  </si>
  <si>
    <t>CS-250423-0204</t>
  </si>
  <si>
    <t>CS-250423-0210</t>
  </si>
  <si>
    <t>CS-250423-0209</t>
  </si>
  <si>
    <t>CS-250423-0211</t>
  </si>
  <si>
    <t>CS-250423-0234</t>
  </si>
  <si>
    <t>CS-250423-0312</t>
  </si>
  <si>
    <t>CS-250424-0041</t>
  </si>
  <si>
    <t>CS-250424-0074</t>
  </si>
  <si>
    <t>CS-250424-0109</t>
  </si>
  <si>
    <t>CS-250424-0151</t>
  </si>
  <si>
    <t>CS-250424-0148</t>
  </si>
  <si>
    <t>CS-250424-0153</t>
  </si>
  <si>
    <t>CS-250424-0205</t>
  </si>
  <si>
    <t>Appam (4 pcs) with Chicken stew (250ml)</t>
  </si>
  <si>
    <t>CS-250424-0206</t>
  </si>
  <si>
    <t>CS-250424-0210</t>
  </si>
  <si>
    <t>CS-250424-0212</t>
  </si>
  <si>
    <t>CS-250424-0247</t>
  </si>
  <si>
    <t>CS-250424-0246</t>
  </si>
  <si>
    <t>CS-250425-0008</t>
  </si>
  <si>
    <t>CS-250425-0178</t>
  </si>
  <si>
    <t>CS-250425-0180</t>
  </si>
  <si>
    <t>Chicken kheema dosa (1 pcs), Kal dosa (1 pcs) with Chutney (250ml)</t>
  </si>
  <si>
    <t>CS-250425-0186</t>
  </si>
  <si>
    <t>CS-250425-0188</t>
  </si>
  <si>
    <t>CS-250425-0190</t>
  </si>
  <si>
    <t>CS-250425-0193</t>
  </si>
  <si>
    <t>CS-250425-0210</t>
  </si>
  <si>
    <t>CS-250426-0030</t>
  </si>
  <si>
    <t>CS-250426-0063</t>
  </si>
  <si>
    <t>CS-250426-0086</t>
  </si>
  <si>
    <t>CS-250426-0096</t>
  </si>
  <si>
    <t>CS-250426-0124</t>
  </si>
  <si>
    <t>CS-250426-0127</t>
  </si>
  <si>
    <t>CS-250426-0187</t>
  </si>
  <si>
    <t>CS-250426-0219</t>
  </si>
  <si>
    <t>CS-250426-0255</t>
  </si>
  <si>
    <t>CS-250426-0258</t>
  </si>
  <si>
    <t>CS-250426-0257</t>
  </si>
  <si>
    <t>CS-250426-0262</t>
  </si>
  <si>
    <t>CS-250426-0300</t>
  </si>
  <si>
    <t>CS-250426-0302</t>
  </si>
  <si>
    <t>CS-250427-0063</t>
  </si>
  <si>
    <t>CS-250427-0097</t>
  </si>
  <si>
    <t>CS-250427-0148</t>
  </si>
  <si>
    <t>CS-250427-0208</t>
  </si>
  <si>
    <t>Karuvadu thokku</t>
  </si>
  <si>
    <t>CS-250427-0279</t>
  </si>
  <si>
    <t>CS-250427-0285</t>
  </si>
  <si>
    <t>CS-250427-0294</t>
  </si>
  <si>
    <t>CS-250427-0292</t>
  </si>
  <si>
    <t>CS-250427-0300</t>
  </si>
  <si>
    <t>CS-250427-0320</t>
  </si>
  <si>
    <t>CS-250427-0325</t>
  </si>
  <si>
    <t>CS-250427-0288</t>
  </si>
  <si>
    <t>Rice (500ml), Vendakkai kara kulambu (250ml), Beetroot poriyal (100ml)</t>
  </si>
  <si>
    <t>CS-250428-0037</t>
  </si>
  <si>
    <t>CS-250428-0050</t>
  </si>
  <si>
    <t>CS-250428-0063</t>
  </si>
  <si>
    <t>CS-250428-0064</t>
  </si>
  <si>
    <t>CS-250428-0095</t>
  </si>
  <si>
    <t>CS-250428-0178</t>
  </si>
  <si>
    <t>CS-250428-0181</t>
  </si>
  <si>
    <t>CS-250428-0184</t>
  </si>
  <si>
    <t>CS-250428-0190</t>
  </si>
  <si>
    <t>CS-250428-0182</t>
  </si>
  <si>
    <t>CS-250428-0201</t>
  </si>
  <si>
    <t>CS-250428-0197</t>
  </si>
  <si>
    <t>CS-250428-0221</t>
  </si>
  <si>
    <t>Rice (500ml), Mixed vegetable sambar (250ml), Potato fry (100ml)</t>
  </si>
  <si>
    <t>CS-250428-0262</t>
  </si>
  <si>
    <t>CS-250429-0041</t>
  </si>
  <si>
    <t>CS-250429-0061</t>
  </si>
  <si>
    <t>CS-250429-0071</t>
  </si>
  <si>
    <t>CS-250429-0109</t>
  </si>
  <si>
    <t>CS-250430-0198</t>
  </si>
  <si>
    <t>CS-250430-0199</t>
  </si>
  <si>
    <t>CS-250430-0201</t>
  </si>
  <si>
    <t>CS-250430-0210</t>
  </si>
  <si>
    <t>CS-250430-0211</t>
  </si>
  <si>
    <t>CS-250430-0212</t>
  </si>
  <si>
    <t>Rice (500ml), Tomato curry (250ml), vazhakkai varuval (100ml)</t>
  </si>
  <si>
    <t>CS-250430-0227</t>
  </si>
  <si>
    <t>CS-250430-0291</t>
  </si>
  <si>
    <t>CS-250430-0308</t>
  </si>
  <si>
    <t>CS-250501-0008</t>
  </si>
  <si>
    <t>CS-250501-0047</t>
  </si>
  <si>
    <t>CS-250501-0099</t>
  </si>
  <si>
    <t>CS-250501-0151</t>
  </si>
  <si>
    <t>CS-250501-0107</t>
  </si>
  <si>
    <t>CS-250501-0154</t>
  </si>
  <si>
    <t>CS-250501-0248</t>
  </si>
  <si>
    <t>CS-250501-0249</t>
  </si>
  <si>
    <t>CS-250501-0259</t>
  </si>
  <si>
    <t>CS-250501-0266</t>
  </si>
  <si>
    <t>Keerai Sadham (500ml) with poriyal (100 ml), Fryums</t>
  </si>
  <si>
    <t>CS-250501-0274</t>
  </si>
  <si>
    <t>CS-250501-0289</t>
  </si>
  <si>
    <t>CS-250502-0015</t>
  </si>
  <si>
    <t>CS-250502-0060</t>
  </si>
  <si>
    <t>CS-250502-0061</t>
  </si>
  <si>
    <t>CS-250502-0064</t>
  </si>
  <si>
    <t>CS-250502-0101</t>
  </si>
  <si>
    <t>Rice with Rasam and egg fry</t>
  </si>
  <si>
    <t>CS-250502-0104</t>
  </si>
  <si>
    <t>CS-250502-0108</t>
  </si>
  <si>
    <t>CS-250502-0124</t>
  </si>
  <si>
    <t>CS-250502-0131</t>
  </si>
  <si>
    <t>CS-250502-0249</t>
  </si>
  <si>
    <t>CS-250502-0254</t>
  </si>
  <si>
    <t>Rice (500ml), Payaru kulambu (250ml), Pudulangai kootu (100ml)</t>
  </si>
  <si>
    <t>CS-250503-0071</t>
  </si>
  <si>
    <t>CS-250504-0296</t>
  </si>
  <si>
    <t>CS-250505-0136</t>
  </si>
  <si>
    <t>CS-250505-0248</t>
  </si>
  <si>
    <t>CS-250506-0040</t>
  </si>
  <si>
    <t>CS-250506-0058</t>
  </si>
  <si>
    <t>CS-250506-0060</t>
  </si>
  <si>
    <t>CS-250506-0075</t>
  </si>
  <si>
    <t>CS-250506-0076</t>
  </si>
  <si>
    <t>CS-250506-0193</t>
  </si>
  <si>
    <t>CS-250506-0308</t>
  </si>
  <si>
    <t>CS-250507-0013</t>
  </si>
  <si>
    <t>CS-250507-0053</t>
  </si>
  <si>
    <t>CS-250507-0059</t>
  </si>
  <si>
    <t>CS-250507-0069</t>
  </si>
  <si>
    <t>CS-250507-0088</t>
  </si>
  <si>
    <t>CS-250507-0103</t>
  </si>
  <si>
    <t>CS-250507-0105</t>
  </si>
  <si>
    <t>CS-250507-0190</t>
  </si>
  <si>
    <t>CS-250508-0030</t>
  </si>
  <si>
    <t>CS-250508-0051</t>
  </si>
  <si>
    <t>CS-250508-0052</t>
  </si>
  <si>
    <t>CS-250508-0059</t>
  </si>
  <si>
    <t>CS-250508-0068</t>
  </si>
  <si>
    <t>CS-250508-0098</t>
  </si>
  <si>
    <t>CS-250508-0114</t>
  </si>
  <si>
    <t>CS-250508-0124</t>
  </si>
  <si>
    <t>CS-250508-0127</t>
  </si>
  <si>
    <t>CS-250508-0184</t>
  </si>
  <si>
    <t>CS-250508-0189</t>
  </si>
  <si>
    <t>Steamed rice (750ml) with Chicken curry (250ml), Egg omeltte (1 pcs), Rasam (100ml), Curd (100ml)</t>
  </si>
  <si>
    <t>CS-250508-0163</t>
  </si>
  <si>
    <t>CS-250508-0180</t>
  </si>
  <si>
    <t>Idiyappam (4 pcs) with Egg drop curry (250ml)</t>
  </si>
  <si>
    <t>CS-250508-0175</t>
  </si>
  <si>
    <t>CS-250509-0003</t>
  </si>
  <si>
    <t>CS-250509-0062</t>
  </si>
  <si>
    <t>CS-250509-0072</t>
  </si>
  <si>
    <t>CS-250509-0079</t>
  </si>
  <si>
    <t>CS-250509-0086</t>
  </si>
  <si>
    <t>CS-250509-0088</t>
  </si>
  <si>
    <t>CS-250509-0105</t>
  </si>
  <si>
    <t>Steamed rice (750ml), Egg gravy (250ml) with eggs (2 pcs), Rasam (100ml), Appalam</t>
  </si>
  <si>
    <t>CS-250509-0191</t>
  </si>
  <si>
    <t>CS-250509-0195</t>
  </si>
  <si>
    <t>CS-250509-0223</t>
  </si>
  <si>
    <t>Dosa (3 nos) with Fish kulambu</t>
  </si>
  <si>
    <t>CS-250509-0305</t>
  </si>
  <si>
    <t>CS-250510-0059</t>
  </si>
  <si>
    <t>CS-250510-0065</t>
  </si>
  <si>
    <t>CS-250510-0099</t>
  </si>
  <si>
    <t>CS-250510-0100</t>
  </si>
  <si>
    <t>CS-250510-0112</t>
  </si>
  <si>
    <t>CS-250510-0144</t>
  </si>
  <si>
    <t>CS-250510-0226</t>
  </si>
  <si>
    <t>CS-250510-0225</t>
  </si>
  <si>
    <t>CS-250510-0234</t>
  </si>
  <si>
    <t>Chicken Biryani (750ml) with Boiled egg (1 nos), Chicken 65 (100ml), Raita (100ml)</t>
  </si>
  <si>
    <t>CS-250510-0252</t>
  </si>
  <si>
    <t>CS-250510-0275</t>
  </si>
  <si>
    <t>CS-250511-0112</t>
  </si>
  <si>
    <t>CS-250511-0116</t>
  </si>
  <si>
    <t>CS-250511-0124</t>
  </si>
  <si>
    <t>CS-250511-0138</t>
  </si>
  <si>
    <t>CS-250511-0145</t>
  </si>
  <si>
    <t>CS-250511-0161</t>
  </si>
  <si>
    <t>CS-250511-0326</t>
  </si>
  <si>
    <t>CS-250511-0163</t>
  </si>
  <si>
    <t>CS-250511-0329</t>
  </si>
  <si>
    <t>CS-250511-0334</t>
  </si>
  <si>
    <t>Podi Idly ( 2pcs) and Idly (2 pcs) with sambar (250ml) green chutney (100ml)</t>
  </si>
  <si>
    <t>CS-250511-0352</t>
  </si>
  <si>
    <t>CS-250511-0323</t>
  </si>
  <si>
    <t>CS-250511-0350</t>
  </si>
  <si>
    <t>CS-250511-0423</t>
  </si>
  <si>
    <t>CS-250512-0030</t>
  </si>
  <si>
    <t>CS-250512-0071</t>
  </si>
  <si>
    <t>CS-250512-0128</t>
  </si>
  <si>
    <t>CS-250512-0131</t>
  </si>
  <si>
    <t>CS-250512-0132</t>
  </si>
  <si>
    <t>CS-250512-0210</t>
  </si>
  <si>
    <t>CS-250512-0219</t>
  </si>
  <si>
    <t>CS-250512-0220</t>
  </si>
  <si>
    <t>CS-250512-0227</t>
  </si>
  <si>
    <t>Sambar rice (500ml) with poriyal (100ml)</t>
  </si>
  <si>
    <t>CS-250512-0231</t>
  </si>
  <si>
    <t>CS-250512-0235</t>
  </si>
  <si>
    <t>CS-250512-0202</t>
  </si>
  <si>
    <t>CS-250512-0228</t>
  </si>
  <si>
    <t>CS-250512-0241</t>
  </si>
  <si>
    <t>CS-250512-0287</t>
  </si>
  <si>
    <t>CS-250513-0039</t>
  </si>
  <si>
    <t>CS-250513-0060</t>
  </si>
  <si>
    <t>CS-250513-0062</t>
  </si>
  <si>
    <t>CS-250513-0074</t>
  </si>
  <si>
    <t>CS-250513-0084</t>
  </si>
  <si>
    <t>CS-250513-0091</t>
  </si>
  <si>
    <t>CS-250513-0110</t>
  </si>
  <si>
    <t>CS-250513-0114</t>
  </si>
  <si>
    <t>CS-250513-0202</t>
  </si>
  <si>
    <t>Uthappam (3 nos) with puthina chutney (250ml)</t>
  </si>
  <si>
    <t>Masal dosa (1 nos), 2 plain dosa with kara chutney (250ml)</t>
  </si>
  <si>
    <t>CS-250513-0221</t>
  </si>
  <si>
    <t>CS-250513-0199</t>
  </si>
  <si>
    <t>CS-250513-0209</t>
  </si>
  <si>
    <t>CS-250513-0226</t>
  </si>
  <si>
    <t>Puliyotharai (500ml) with poriyal (100ml)</t>
  </si>
  <si>
    <t>Puliyotharai (500ml) with poriyal (100ml), fryums, pickle</t>
  </si>
  <si>
    <t>CS-250513-0231</t>
  </si>
  <si>
    <t>CS-250513-0228</t>
  </si>
  <si>
    <t>CS-250513-0236</t>
  </si>
  <si>
    <t>CS-250513-0219</t>
  </si>
  <si>
    <t>CS-250514-0008</t>
  </si>
  <si>
    <t>CS-250514-0034</t>
  </si>
  <si>
    <t>CS-250514-0041</t>
  </si>
  <si>
    <t>CS-250514-0056</t>
  </si>
  <si>
    <t>CS-250514-0062</t>
  </si>
  <si>
    <t>CS-250514-0063</t>
  </si>
  <si>
    <t>CS-250514-0085</t>
  </si>
  <si>
    <t>CS-250514-0087</t>
  </si>
  <si>
    <t>CS-250514-0125</t>
  </si>
  <si>
    <t>CS-250514-0176</t>
  </si>
  <si>
    <t>CS-250514-0181</t>
  </si>
  <si>
    <t>CS-250514-0184</t>
  </si>
  <si>
    <t>CS-250514-0196</t>
  </si>
  <si>
    <t>Vegetable rava kichadi (500ml) with coconut chutney (100ml)</t>
  </si>
  <si>
    <t>CS-250514-0209</t>
  </si>
  <si>
    <t>CS-250514-0217</t>
  </si>
  <si>
    <t>CS-250514-0192</t>
  </si>
  <si>
    <t>CS-250514-0195</t>
  </si>
  <si>
    <t>CS-250514-0189</t>
  </si>
  <si>
    <t>CS-250514-0274</t>
  </si>
  <si>
    <t>CS-250514-0279</t>
  </si>
  <si>
    <t>CS-250514-0287</t>
  </si>
  <si>
    <t>CS-250515-0059</t>
  </si>
  <si>
    <t>CS-250515-0066</t>
  </si>
  <si>
    <t>CS-250515-0067</t>
  </si>
  <si>
    <t>CS-250515-0068</t>
  </si>
  <si>
    <t>CS-250515-0108</t>
  </si>
  <si>
    <t>CS-250515-0122</t>
  </si>
  <si>
    <t>CS-250515-0181</t>
  </si>
  <si>
    <t>Kara paniyara (10 pcs) with kara chutney (100ml)</t>
  </si>
  <si>
    <t>CS-250515-0193</t>
  </si>
  <si>
    <t>CS-250515-0198</t>
  </si>
  <si>
    <t>CS-250515-0203</t>
  </si>
  <si>
    <t>CS-250515-0210</t>
  </si>
  <si>
    <t>CS-250515-0214</t>
  </si>
  <si>
    <t>CS-250515-0220</t>
  </si>
  <si>
    <t>Idly (4 nos) with Tomato gravy (250ml)</t>
  </si>
  <si>
    <t>CS-250515-0224</t>
  </si>
  <si>
    <t>CS-250515-0221</t>
  </si>
  <si>
    <t>CS-250515-0225</t>
  </si>
  <si>
    <t>CS-250515-0300</t>
  </si>
  <si>
    <t>CS-250515-0227</t>
  </si>
  <si>
    <t>CS-250514-0280</t>
  </si>
  <si>
    <t>Egg dosa (1 no.s), Plain dosa (2 pcs) with sambar (250ml) qnd chutney (100ml)</t>
  </si>
  <si>
    <t>Count of ORDER ID</t>
  </si>
  <si>
    <t>(blank)</t>
  </si>
  <si>
    <t>Count of CLASSIFICATION(Veg/Non-veg/Beverage)</t>
  </si>
  <si>
    <t xml:space="preserve">Total revenue </t>
  </si>
  <si>
    <t>`</t>
  </si>
  <si>
    <t>Regular</t>
  </si>
  <si>
    <t>Count of DISH NAME</t>
  </si>
  <si>
    <t>TYPE_FIXED</t>
  </si>
  <si>
    <t>Most Ordered Dish (Regular)</t>
  </si>
  <si>
    <t>Most Ordered Dish (Subscription)</t>
  </si>
  <si>
    <t>TOTAL DISHES</t>
  </si>
  <si>
    <t>Count of ORDER ID2</t>
  </si>
  <si>
    <t>May Day</t>
  </si>
  <si>
    <t>Public holiday - medium activity expected</t>
  </si>
  <si>
    <t>Total Revenue</t>
  </si>
  <si>
    <t>Total Orders</t>
  </si>
  <si>
    <t>Percentage of Rate (%)</t>
  </si>
  <si>
    <t>Percentage of Orders (%)</t>
  </si>
  <si>
    <t>Subscription</t>
  </si>
  <si>
    <t>Percentage of revenue %</t>
  </si>
  <si>
    <t>GRAPH 1: ORDER TREND</t>
  </si>
  <si>
    <t>GRAPH 2: ORDER VOLUME BY DAYS OF WEEK</t>
  </si>
  <si>
    <t>GRAPH 3: ORDER DISTRIBUTION ACROSS DAYS</t>
  </si>
  <si>
    <t>GRAPH 4: PIVOT TABLE SUMMARY: ORDERS BY MEAL CATEGORY</t>
  </si>
  <si>
    <t>GRAPH 5: DISH POPULARITY BY ORDER TYPE</t>
  </si>
  <si>
    <t>GRAPH 6: SHARE OF CLASSIFICATION (VEGETARIAN VS NON-VEGETARIAN)</t>
  </si>
  <si>
    <t>Count of CLASSIFICATION(Veg/Non-veg)</t>
  </si>
  <si>
    <t>Type</t>
  </si>
  <si>
    <t>GRAPH 7: REVENUE ANALYSIS: DAILY REVENUE CHART</t>
  </si>
  <si>
    <t>TABLES FOR REFERENCE AND CALCULATION</t>
  </si>
  <si>
    <t>GRAPH 8: SUBSCRIPTION VS REGULAR ORDER</t>
  </si>
  <si>
    <t>GRAPH 9: Day's order Value</t>
  </si>
  <si>
    <t>GRAPH 10: Date's order Value</t>
  </si>
  <si>
    <t>Metric</t>
  </si>
  <si>
    <t>Value</t>
  </si>
  <si>
    <t>Mean (Average Orders/Day)</t>
  </si>
  <si>
    <t>Median (Middle Value)</t>
  </si>
  <si>
    <t>Standard Deviation</t>
  </si>
  <si>
    <t>Minimum</t>
  </si>
  <si>
    <t>Maximum</t>
  </si>
  <si>
    <t>Range (Max - Min)</t>
  </si>
  <si>
    <t>Total Days</t>
  </si>
  <si>
    <t>Coefficient of Variation</t>
  </si>
  <si>
    <t>Daily Orders Statistics</t>
  </si>
  <si>
    <t>DAILY SUMMARY</t>
  </si>
  <si>
    <t>Daily Revenue Statistics</t>
  </si>
  <si>
    <t>Mean (Average Revenue/Day)</t>
  </si>
  <si>
    <t>Median</t>
  </si>
  <si>
    <t>Minimum Daily Revenue</t>
  </si>
  <si>
    <t>Maximum Daily Revenue</t>
  </si>
  <si>
    <t>Range</t>
  </si>
  <si>
    <t>PIVOT TABLE 1</t>
  </si>
  <si>
    <t>PIVOT TABLE 2</t>
  </si>
  <si>
    <t>% of Total</t>
  </si>
  <si>
    <t>Avg Revenue/Day</t>
  </si>
  <si>
    <t>WEEKLY STATISTICS TABLE</t>
  </si>
  <si>
    <t>Avg Orders/Day</t>
  </si>
  <si>
    <t>% of Revenue</t>
  </si>
  <si>
    <t>% of Share</t>
  </si>
  <si>
    <t>REVENUE</t>
  </si>
  <si>
    <t>NUMBER OF ORDERS</t>
  </si>
  <si>
    <t>ORDER TYPE STATISTICS</t>
  </si>
  <si>
    <t>MEAL CATEGORY STATISTICS</t>
  </si>
  <si>
    <t>% of Orders</t>
  </si>
  <si>
    <t>Avg Order/ Day</t>
  </si>
  <si>
    <t>No.Of Items</t>
  </si>
  <si>
    <t>VEG VS NON-VEG STATISTICS</t>
  </si>
  <si>
    <t>Daily Orders</t>
  </si>
  <si>
    <t>7-Day Moving Average</t>
  </si>
  <si>
    <t>Exponential Smoothing</t>
  </si>
  <si>
    <t>MAPE %</t>
  </si>
  <si>
    <t>Ingredient</t>
  </si>
  <si>
    <t>Local Cost (per kg/unit)</t>
  </si>
  <si>
    <t>Est. Monthly Usage</t>
  </si>
  <si>
    <t>Annual Usage</t>
  </si>
  <si>
    <t>Annual Value (₹)</t>
  </si>
  <si>
    <t>Cumulative %</t>
  </si>
  <si>
    <t>Class</t>
  </si>
  <si>
    <t>Chicken</t>
  </si>
  <si>
    <t>Tomato</t>
  </si>
  <si>
    <t>Onion</t>
  </si>
  <si>
    <t>Cooking oil</t>
  </si>
  <si>
    <t>Coconut</t>
  </si>
  <si>
    <t>Eggs</t>
  </si>
  <si>
    <t>Potato</t>
  </si>
  <si>
    <t>Drumstick</t>
  </si>
  <si>
    <t>Curd</t>
  </si>
  <si>
    <t>Tamarind</t>
  </si>
  <si>
    <t>Sambar powder</t>
  </si>
  <si>
    <t>Ghee</t>
  </si>
  <si>
    <t>Cashews</t>
  </si>
  <si>
    <t>(Units)</t>
  </si>
  <si>
    <t xml:space="preserve"> kg</t>
  </si>
  <si>
    <t xml:space="preserve"> L</t>
  </si>
  <si>
    <t xml:space="preserve"> pcs</t>
  </si>
  <si>
    <t xml:space="preserve"> packs</t>
  </si>
  <si>
    <t>Avg Daily Demand</t>
  </si>
  <si>
    <t>Std Dev</t>
  </si>
  <si>
    <t>Lead Time (days)</t>
  </si>
  <si>
    <t>Annual Demand</t>
  </si>
  <si>
    <t>Order Cost (₹)</t>
  </si>
  <si>
    <t>Holding Cost (₹/unit/yr)</t>
  </si>
  <si>
    <t>EOQ</t>
  </si>
  <si>
    <t>Safety Stock</t>
  </si>
  <si>
    <t>ROP</t>
  </si>
  <si>
    <t>Dish Name</t>
  </si>
  <si>
    <t>Selling Price (₹)</t>
  </si>
  <si>
    <t>Ingredient Cost (₹)</t>
  </si>
  <si>
    <t>Platform Fee (₹)</t>
  </si>
  <si>
    <t>Total Variable Cost</t>
  </si>
  <si>
    <t>CM (₹)</t>
  </si>
  <si>
    <t>CM %</t>
  </si>
  <si>
    <t>Star</t>
  </si>
  <si>
    <t>Plowhorse</t>
  </si>
  <si>
    <t>Dog</t>
  </si>
  <si>
    <t>Puzzle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</si>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</sst>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F800]dddd\,\ mmmm\ dd\,\ yyyy"/>
    <numFmt numFmtId="165" formatCode="0.000"/>
  </numFmts>
  <fonts count="4" x14ac:knownFonts="1">
    <font>
      <sz val="11"/>
      <color theme="1"/>
      <name val="Aptos Narrow"/>
      <family val="2"/>
      <scheme val="minor"/>
    </font>
    <font>
      <sz val="8"/>
      <name val="Aptos Narrow"/>
      <family val="2"/>
      <scheme val="minor"/>
    </font>
    <font>
      <sz val="11"/>
      <color theme="1"/>
      <name val="Aptos Narrow"/>
      <family val="2"/>
      <scheme val="minor"/>
    </font>
    <font>
      <sz val="11"/>
      <name val="Aptos Narrow"/>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6" tint="0.59999389629810485"/>
        <bgColor indexed="64"/>
      </patternFill>
    </fill>
    <fill>
      <patternFill patternType="solid">
        <fgColor theme="3" tint="0.749992370372631"/>
        <bgColor indexed="64"/>
      </patternFill>
    </fill>
    <fill>
      <patternFill patternType="solid">
        <fgColor theme="7" tint="0.79998168889431442"/>
        <bgColor indexed="64"/>
      </patternFill>
    </fill>
    <fill>
      <patternFill patternType="solid">
        <fgColor rgb="FF92D050"/>
        <bgColor indexed="64"/>
      </patternFill>
    </fill>
    <fill>
      <patternFill patternType="solid">
        <fgColor theme="4" tint="0.79998168889431442"/>
        <bgColor indexed="64"/>
      </patternFill>
    </fill>
  </fills>
  <borders count="4">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32">
    <xf numFmtId="0" fontId="0" fillId="0" borderId="0" xfId="0"/>
    <xf numFmtId="20" fontId="0" fillId="0" borderId="0" xfId="0" applyNumberFormat="1"/>
    <xf numFmtId="0" fontId="0" fillId="0" borderId="0" xfId="0" applyAlignment="1">
      <alignment horizontal="center"/>
    </xf>
    <xf numFmtId="0" fontId="0" fillId="0" borderId="0" xfId="0" quotePrefix="1" applyAlignment="1">
      <alignment horizontal="center"/>
    </xf>
    <xf numFmtId="0" fontId="0" fillId="0" borderId="0" xfId="0" pivotButton="1"/>
    <xf numFmtId="0" fontId="0" fillId="0" borderId="0" xfId="0" applyAlignment="1">
      <alignment horizontal="left"/>
    </xf>
    <xf numFmtId="0" fontId="0" fillId="0" borderId="0" xfId="0" applyAlignment="1">
      <alignment wrapText="1"/>
    </xf>
    <xf numFmtId="2" fontId="0" fillId="0" borderId="0" xfId="0" applyNumberFormat="1"/>
    <xf numFmtId="14" fontId="0" fillId="0" borderId="0" xfId="0" applyNumberFormat="1"/>
    <xf numFmtId="164" fontId="0" fillId="0" borderId="0" xfId="0" applyNumberFormat="1"/>
    <xf numFmtId="10" fontId="0" fillId="0" borderId="0" xfId="1" applyNumberFormat="1" applyFont="1"/>
    <xf numFmtId="14" fontId="0" fillId="0" borderId="0" xfId="0" applyNumberFormat="1" applyAlignment="1">
      <alignment horizontal="left"/>
    </xf>
    <xf numFmtId="43" fontId="0" fillId="0" borderId="0" xfId="2" applyFont="1"/>
    <xf numFmtId="0" fontId="0" fillId="0" borderId="1" xfId="0" applyBorder="1"/>
    <xf numFmtId="164" fontId="0" fillId="0" borderId="2" xfId="0" applyNumberFormat="1" applyBorder="1"/>
    <xf numFmtId="0" fontId="0" fillId="0" borderId="2" xfId="0" applyBorder="1"/>
    <xf numFmtId="0" fontId="0" fillId="0" borderId="2" xfId="0" applyBorder="1" applyAlignment="1">
      <alignment horizontal="center"/>
    </xf>
    <xf numFmtId="0" fontId="0" fillId="0" borderId="3" xfId="0" applyBorder="1"/>
    <xf numFmtId="0" fontId="0" fillId="0" borderId="0" xfId="0" applyAlignment="1">
      <alignment horizontal="left" indent="1"/>
    </xf>
    <xf numFmtId="0" fontId="0" fillId="4" borderId="0" xfId="0" applyFill="1"/>
    <xf numFmtId="10" fontId="0" fillId="0" borderId="0" xfId="0" applyNumberFormat="1"/>
    <xf numFmtId="165" fontId="0" fillId="0" borderId="0" xfId="0" applyNumberFormat="1"/>
    <xf numFmtId="0" fontId="0" fillId="5" borderId="0" xfId="0" applyFill="1"/>
    <xf numFmtId="0" fontId="0" fillId="7" borderId="0" xfId="0" applyFill="1"/>
    <xf numFmtId="0" fontId="0" fillId="0" borderId="0" xfId="0" applyAlignment="1">
      <alignment vertical="center" wrapText="1"/>
    </xf>
    <xf numFmtId="0" fontId="0" fillId="0" borderId="0" xfId="0" applyAlignment="1">
      <alignment horizontal="left" wrapText="1" indent="1"/>
    </xf>
    <xf numFmtId="0" fontId="0" fillId="2" borderId="0" xfId="0" applyFill="1" applyAlignment="1">
      <alignment horizontal="center"/>
    </xf>
    <xf numFmtId="0" fontId="0" fillId="0" borderId="0" xfId="0"/>
    <xf numFmtId="0" fontId="0" fillId="3" borderId="0" xfId="0" applyFill="1" applyAlignment="1">
      <alignment horizontal="center"/>
    </xf>
    <xf numFmtId="0" fontId="0" fillId="6" borderId="0" xfId="0" applyFill="1" applyAlignment="1">
      <alignment horizontal="center"/>
    </xf>
    <xf numFmtId="0" fontId="0" fillId="0" borderId="0" xfId="0" applyAlignment="1">
      <alignment horizontal="center"/>
    </xf>
    <xf numFmtId="0" fontId="3" fillId="6" borderId="0" xfId="0" applyFont="1" applyFill="1" applyAlignment="1">
      <alignment horizontal="center"/>
    </xf>
  </cellXfs>
  <cellStyles count="3">
    <cellStyle name="Comma" xfId="2" builtinId="3"/>
    <cellStyle name="Normal" xfId="0" builtinId="0"/>
    <cellStyle name="Percent" xfId="1" builtinId="5"/>
  </cellStyles>
  <dxfs count="32">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theme="0"/>
        </left>
        <right style="thin">
          <color theme="0"/>
        </right>
        <top style="thin">
          <color theme="0"/>
        </top>
        <bottom style="thin">
          <color theme="0"/>
        </bottom>
        <vertical/>
        <horizontal/>
      </border>
    </dxf>
    <dxf>
      <numFmt numFmtId="13" formatCode="0%"/>
    </dxf>
    <dxf>
      <numFmt numFmtId="0" formatCode="General"/>
    </dxf>
    <dxf>
      <numFmt numFmtId="0" formatCode="General"/>
    </dxf>
    <dxf>
      <alignment horizontal="left" vertical="bottom" textRotation="0" wrapText="0" indent="1" justifyLastLine="0" shrinkToFit="0" readingOrder="0"/>
    </dxf>
    <dxf>
      <alignment horizontal="general" vertical="center" textRotation="0" wrapText="1" indent="0" justifyLastLine="0" shrinkToFit="0" readingOrder="0"/>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left" vertical="bottom" textRotation="0" wrapText="0" indent="0" justifyLastLine="0" shrinkToFit="0" readingOrder="0"/>
    </dxf>
    <dxf>
      <alignment horizontal="general" vertical="center" textRotation="0" wrapText="1" indent="0" justifyLastLine="0" shrinkToFit="0" readingOrder="0"/>
    </dxf>
    <dxf>
      <fill>
        <patternFill patternType="solid">
          <fgColor indexed="64"/>
          <bgColor theme="7" tint="0.79998168889431442"/>
        </patternFill>
      </fill>
    </dxf>
    <dxf>
      <numFmt numFmtId="0" formatCode="General"/>
    </dxf>
    <dxf>
      <numFmt numFmtId="164" formatCode="[$-F800]dddd\,\ mmmm\ dd\,\ yyyy"/>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
      <alignment horizontal="left" vertical="bottom" textRotation="0" wrapText="0" indent="0" justifyLastLine="0" shrinkToFit="0" readingOrder="0"/>
    </dxf>
    <dxf>
      <numFmt numFmtId="0" formatCode="General"/>
    </dxf>
    <dxf>
      <numFmt numFmtId="25" formatCode="hh:mm"/>
    </dxf>
    <dxf>
      <alignment horizontal="center"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MENU SPREADSHEET.xlsx]Order Data  !PivotTable8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Data  '!$O$17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'Order Data  '!$N$18:$N$66</c:f>
              <c:strCache>
                <c:ptCount val="48"/>
                <c:pt idx="0">
                  <c:v>01-04-2025</c:v>
                </c:pt>
                <c:pt idx="1">
                  <c:v>02-04-2025</c:v>
                </c:pt>
                <c:pt idx="2">
                  <c:v>03-04-2025</c:v>
                </c:pt>
                <c:pt idx="3">
                  <c:v>04-04-2025</c:v>
                </c:pt>
                <c:pt idx="4">
                  <c:v>05-04-2025</c:v>
                </c:pt>
                <c:pt idx="5">
                  <c:v>06-04-2025</c:v>
                </c:pt>
                <c:pt idx="6">
                  <c:v>07-04-2025</c:v>
                </c:pt>
                <c:pt idx="7">
                  <c:v>08-04-2025</c:v>
                </c:pt>
                <c:pt idx="8">
                  <c:v>09-04-2025</c:v>
                </c:pt>
                <c:pt idx="9">
                  <c:v>10-04-2025</c:v>
                </c:pt>
                <c:pt idx="10">
                  <c:v>11-04-2025</c:v>
                </c:pt>
                <c:pt idx="11">
                  <c:v>12-04-2025</c:v>
                </c:pt>
                <c:pt idx="12">
                  <c:v>13-04-2025</c:v>
                </c:pt>
                <c:pt idx="13">
                  <c:v>14-04-2025</c:v>
                </c:pt>
                <c:pt idx="14">
                  <c:v>15-04-2025</c:v>
                </c:pt>
                <c:pt idx="15">
                  <c:v>16-04-2025</c:v>
                </c:pt>
                <c:pt idx="16">
                  <c:v>17-04-2025</c:v>
                </c:pt>
                <c:pt idx="17">
                  <c:v>18-04-2025</c:v>
                </c:pt>
                <c:pt idx="18">
                  <c:v>19-04-2025</c:v>
                </c:pt>
                <c:pt idx="19">
                  <c:v>20-04-2025</c:v>
                </c:pt>
                <c:pt idx="20">
                  <c:v>21-04-2025</c:v>
                </c:pt>
                <c:pt idx="21">
                  <c:v>22-04-2025</c:v>
                </c:pt>
                <c:pt idx="22">
                  <c:v>23-04-2025</c:v>
                </c:pt>
                <c:pt idx="23">
                  <c:v>24-04-2025</c:v>
                </c:pt>
                <c:pt idx="24">
                  <c:v>25-04-2025</c:v>
                </c:pt>
                <c:pt idx="25">
                  <c:v>26-04-2025</c:v>
                </c:pt>
                <c:pt idx="26">
                  <c:v>27-04-2025</c:v>
                </c:pt>
                <c:pt idx="27">
                  <c:v>28-04-2025</c:v>
                </c:pt>
                <c:pt idx="28">
                  <c:v>29-04-2025</c:v>
                </c:pt>
                <c:pt idx="29">
                  <c:v>01-05-2025</c:v>
                </c:pt>
                <c:pt idx="30">
                  <c:v>02-05-2025</c:v>
                </c:pt>
                <c:pt idx="31">
                  <c:v>03-05-2025</c:v>
                </c:pt>
                <c:pt idx="32">
                  <c:v>04-05-2025</c:v>
                </c:pt>
                <c:pt idx="33">
                  <c:v>05-05-2025</c:v>
                </c:pt>
                <c:pt idx="34">
                  <c:v>06-05-2025</c:v>
                </c:pt>
                <c:pt idx="35">
                  <c:v>07-05-2025</c:v>
                </c:pt>
                <c:pt idx="36">
                  <c:v>08-05-2025</c:v>
                </c:pt>
                <c:pt idx="37">
                  <c:v>09-05-2025</c:v>
                </c:pt>
                <c:pt idx="38">
                  <c:v>10-05-2025</c:v>
                </c:pt>
                <c:pt idx="39">
                  <c:v>11-05-2025</c:v>
                </c:pt>
                <c:pt idx="40">
                  <c:v>12-05-2025</c:v>
                </c:pt>
                <c:pt idx="41">
                  <c:v>13-05-2025</c:v>
                </c:pt>
                <c:pt idx="42">
                  <c:v>14-05-2025</c:v>
                </c:pt>
                <c:pt idx="43">
                  <c:v>15-05-2025</c:v>
                </c:pt>
                <c:pt idx="44">
                  <c:v>16-05-2025</c:v>
                </c:pt>
                <c:pt idx="45">
                  <c:v>17-05-2025</c:v>
                </c:pt>
                <c:pt idx="46">
                  <c:v>18-05-2025</c:v>
                </c:pt>
                <c:pt idx="47">
                  <c:v>26-05-2025</c:v>
                </c:pt>
              </c:strCache>
            </c:strRef>
          </c:cat>
          <c:val>
            <c:numRef>
              <c:f>'Order Data  '!$O$18:$O$66</c:f>
              <c:numCache>
                <c:formatCode>General</c:formatCode>
                <c:ptCount val="48"/>
                <c:pt idx="0">
                  <c:v>11</c:v>
                </c:pt>
                <c:pt idx="1">
                  <c:v>11</c:v>
                </c:pt>
                <c:pt idx="2">
                  <c:v>18</c:v>
                </c:pt>
                <c:pt idx="3">
                  <c:v>18</c:v>
                </c:pt>
                <c:pt idx="4">
                  <c:v>17</c:v>
                </c:pt>
                <c:pt idx="5">
                  <c:v>20</c:v>
                </c:pt>
                <c:pt idx="6">
                  <c:v>16</c:v>
                </c:pt>
                <c:pt idx="7">
                  <c:v>21</c:v>
                </c:pt>
                <c:pt idx="8">
                  <c:v>19</c:v>
                </c:pt>
                <c:pt idx="9">
                  <c:v>15</c:v>
                </c:pt>
                <c:pt idx="10">
                  <c:v>9</c:v>
                </c:pt>
                <c:pt idx="11">
                  <c:v>12</c:v>
                </c:pt>
                <c:pt idx="12">
                  <c:v>13</c:v>
                </c:pt>
                <c:pt idx="13">
                  <c:v>8</c:v>
                </c:pt>
                <c:pt idx="14">
                  <c:v>13</c:v>
                </c:pt>
                <c:pt idx="15">
                  <c:v>15</c:v>
                </c:pt>
                <c:pt idx="16">
                  <c:v>13</c:v>
                </c:pt>
                <c:pt idx="17">
                  <c:v>16</c:v>
                </c:pt>
                <c:pt idx="18">
                  <c:v>16</c:v>
                </c:pt>
                <c:pt idx="19">
                  <c:v>14</c:v>
                </c:pt>
                <c:pt idx="20">
                  <c:v>5</c:v>
                </c:pt>
                <c:pt idx="21">
                  <c:v>10</c:v>
                </c:pt>
                <c:pt idx="22">
                  <c:v>12</c:v>
                </c:pt>
                <c:pt idx="23">
                  <c:v>13</c:v>
                </c:pt>
                <c:pt idx="24">
                  <c:v>7</c:v>
                </c:pt>
                <c:pt idx="25">
                  <c:v>14</c:v>
                </c:pt>
                <c:pt idx="26">
                  <c:v>11</c:v>
                </c:pt>
                <c:pt idx="27">
                  <c:v>13</c:v>
                </c:pt>
                <c:pt idx="28">
                  <c:v>13</c:v>
                </c:pt>
                <c:pt idx="29">
                  <c:v>15</c:v>
                </c:pt>
                <c:pt idx="30">
                  <c:v>15</c:v>
                </c:pt>
                <c:pt idx="31">
                  <c:v>2</c:v>
                </c:pt>
                <c:pt idx="32">
                  <c:v>1</c:v>
                </c:pt>
                <c:pt idx="33">
                  <c:v>2</c:v>
                </c:pt>
                <c:pt idx="34">
                  <c:v>6</c:v>
                </c:pt>
                <c:pt idx="35">
                  <c:v>8</c:v>
                </c:pt>
                <c:pt idx="36">
                  <c:v>10</c:v>
                </c:pt>
                <c:pt idx="37">
                  <c:v>13</c:v>
                </c:pt>
                <c:pt idx="38">
                  <c:v>11</c:v>
                </c:pt>
                <c:pt idx="39">
                  <c:v>12</c:v>
                </c:pt>
                <c:pt idx="40">
                  <c:v>12</c:v>
                </c:pt>
                <c:pt idx="41">
                  <c:v>18</c:v>
                </c:pt>
                <c:pt idx="42">
                  <c:v>18</c:v>
                </c:pt>
                <c:pt idx="43">
                  <c:v>16</c:v>
                </c:pt>
                <c:pt idx="44">
                  <c:v>12</c:v>
                </c:pt>
                <c:pt idx="45">
                  <c:v>1</c:v>
                </c:pt>
                <c:pt idx="46">
                  <c:v>1</c:v>
                </c:pt>
                <c:pt idx="47">
                  <c:v>1</c:v>
                </c:pt>
              </c:numCache>
            </c:numRef>
          </c:val>
          <c:smooth val="0"/>
          <c:extLst>
            <c:ext xmlns:c16="http://schemas.microsoft.com/office/drawing/2014/chart" uri="{C3380CC4-5D6E-409C-BE32-E72D297353CC}">
              <c16:uniqueId val="{00000000-F0E7-47BC-817A-55E1772EFBCD}"/>
            </c:ext>
          </c:extLst>
        </c:ser>
        <c:dLbls>
          <c:showLegendKey val="0"/>
          <c:showVal val="0"/>
          <c:showCatName val="0"/>
          <c:showSerName val="0"/>
          <c:showPercent val="0"/>
          <c:showBubbleSize val="0"/>
        </c:dLbls>
        <c:marker val="1"/>
        <c:smooth val="0"/>
        <c:axId val="560463088"/>
        <c:axId val="560457328"/>
      </c:lineChart>
      <c:catAx>
        <c:axId val="56046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57328"/>
        <c:crosses val="autoZero"/>
        <c:auto val="1"/>
        <c:lblAlgn val="ctr"/>
        <c:lblOffset val="100"/>
        <c:tickLblSkip val="2"/>
        <c:noMultiLvlLbl val="0"/>
      </c:catAx>
      <c:valAx>
        <c:axId val="560457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No.of</a:t>
                </a:r>
                <a:r>
                  <a:rPr lang="en-IN" baseline="0"/>
                  <a:t> Orders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6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MENU SPREADSHEET.xlsx]Order Data  !PivotTable22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Volume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6614742869683344E-2"/>
              <c:y val="-3.5549407569250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8691585728393762E-2"/>
              <c:y val="-3.8781171893727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1.8691585728393762E-2"/>
              <c:y val="-3.8781171893727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076842858710418E-2"/>
              <c:y val="-4.2012936218204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8691585728393609E-2"/>
              <c:y val="-3.8781171893727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1.8691585728393741E-2"/>
              <c:y val="-2.585411459581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8691585728393724E-2"/>
              <c:y val="-2.9085878920295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8691585728393741E-2"/>
              <c:y val="-2.585411459581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8691585728393724E-2"/>
              <c:y val="-2.9085878920295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6614742869683344E-2"/>
              <c:y val="-3.5549407569250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8691585728393762E-2"/>
              <c:y val="-3.8781171893727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1.8691585728393762E-2"/>
              <c:y val="-3.8781171893727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2.076842858710418E-2"/>
              <c:y val="-4.2012936218204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1.8691585728393609E-2"/>
              <c:y val="-3.8781171893727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1.8691585728393741E-2"/>
              <c:y val="-2.585411459581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1.8691585728393724E-2"/>
              <c:y val="-2.9085878920295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1.6614742869683344E-2"/>
              <c:y val="-3.5549407569250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1.8691585728393762E-2"/>
              <c:y val="-3.8781171893727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1.8691585728393762E-2"/>
              <c:y val="-3.8781171893727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2.076842858710418E-2"/>
              <c:y val="-4.2012936218204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1.8691585728393609E-2"/>
              <c:y val="-3.8781171893727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1.8691585728393741E-2"/>
              <c:y val="-2.585411459581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layout>
            <c:manualLayout>
              <c:x val="1.8691585728393724E-2"/>
              <c:y val="-2.9085878920295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1.6614742869683344E-2"/>
              <c:y val="-3.5549407569250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1.8691585728393762E-2"/>
              <c:y val="-3.8781171893727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1.8691585728393762E-2"/>
              <c:y val="-3.8781171893727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2.076842858710418E-2"/>
              <c:y val="-4.2012936218204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layout>
            <c:manualLayout>
              <c:x val="1.8691585728393609E-2"/>
              <c:y val="-3.8781171893727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1.8691585728393741E-2"/>
              <c:y val="-2.585411459581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1.8691585728393724E-2"/>
              <c:y val="-2.9085878920295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1.6614742869683344E-2"/>
              <c:y val="-3.5549407569250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1.8691585728393762E-2"/>
              <c:y val="-3.8781171893727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layout>
            <c:manualLayout>
              <c:x val="1.8691585728393762E-2"/>
              <c:y val="-3.87811718937273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layout>
            <c:manualLayout>
              <c:x val="2.076842858710418E-2"/>
              <c:y val="-4.2012936218204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1.8691585728393609E-2"/>
              <c:y val="-3.8781171893727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Data  '!$O$72</c:f>
              <c:strCache>
                <c:ptCount val="1"/>
                <c:pt idx="0">
                  <c:v>Count of ORDER ID</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Data  '!$N$73:$N$80</c:f>
              <c:strCache>
                <c:ptCount val="7"/>
                <c:pt idx="0">
                  <c:v>Monday</c:v>
                </c:pt>
                <c:pt idx="1">
                  <c:v>Tuesday</c:v>
                </c:pt>
                <c:pt idx="2">
                  <c:v>Wednesday</c:v>
                </c:pt>
                <c:pt idx="3">
                  <c:v>Thursday</c:v>
                </c:pt>
                <c:pt idx="4">
                  <c:v>Friday</c:v>
                </c:pt>
                <c:pt idx="5">
                  <c:v>Saturday</c:v>
                </c:pt>
                <c:pt idx="6">
                  <c:v>Sunday</c:v>
                </c:pt>
              </c:strCache>
            </c:strRef>
          </c:cat>
          <c:val>
            <c:numRef>
              <c:f>'Order Data  '!$O$73:$O$80</c:f>
              <c:numCache>
                <c:formatCode>General</c:formatCode>
                <c:ptCount val="7"/>
                <c:pt idx="0">
                  <c:v>57</c:v>
                </c:pt>
                <c:pt idx="1">
                  <c:v>92</c:v>
                </c:pt>
                <c:pt idx="2">
                  <c:v>83</c:v>
                </c:pt>
                <c:pt idx="3">
                  <c:v>100</c:v>
                </c:pt>
                <c:pt idx="4">
                  <c:v>90</c:v>
                </c:pt>
                <c:pt idx="5">
                  <c:v>73</c:v>
                </c:pt>
                <c:pt idx="6">
                  <c:v>72</c:v>
                </c:pt>
              </c:numCache>
            </c:numRef>
          </c:val>
          <c:extLst>
            <c:ext xmlns:c16="http://schemas.microsoft.com/office/drawing/2014/chart" uri="{C3380CC4-5D6E-409C-BE32-E72D297353CC}">
              <c16:uniqueId val="{00000000-5252-49AE-B6F8-C609C984E0DB}"/>
            </c:ext>
          </c:extLst>
        </c:ser>
        <c:ser>
          <c:idx val="1"/>
          <c:order val="1"/>
          <c:tx>
            <c:strRef>
              <c:f>'Order Data  '!$P$72</c:f>
              <c:strCache>
                <c:ptCount val="1"/>
                <c:pt idx="0">
                  <c:v>Count of ORDER ID2</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5252-49AE-B6F8-C609C984E0DB}"/>
              </c:ext>
            </c:extLst>
          </c:dPt>
          <c:dPt>
            <c:idx val="1"/>
            <c:invertIfNegative val="0"/>
            <c:bubble3D val="0"/>
            <c:extLst>
              <c:ext xmlns:c16="http://schemas.microsoft.com/office/drawing/2014/chart" uri="{C3380CC4-5D6E-409C-BE32-E72D297353CC}">
                <c16:uniqueId val="{00000002-5252-49AE-B6F8-C609C984E0DB}"/>
              </c:ext>
            </c:extLst>
          </c:dPt>
          <c:dPt>
            <c:idx val="2"/>
            <c:invertIfNegative val="0"/>
            <c:bubble3D val="0"/>
            <c:extLst>
              <c:ext xmlns:c16="http://schemas.microsoft.com/office/drawing/2014/chart" uri="{C3380CC4-5D6E-409C-BE32-E72D297353CC}">
                <c16:uniqueId val="{00000003-5252-49AE-B6F8-C609C984E0DB}"/>
              </c:ext>
            </c:extLst>
          </c:dPt>
          <c:dPt>
            <c:idx val="3"/>
            <c:invertIfNegative val="0"/>
            <c:bubble3D val="0"/>
            <c:extLst>
              <c:ext xmlns:c16="http://schemas.microsoft.com/office/drawing/2014/chart" uri="{C3380CC4-5D6E-409C-BE32-E72D297353CC}">
                <c16:uniqueId val="{00000004-5252-49AE-B6F8-C609C984E0DB}"/>
              </c:ext>
            </c:extLst>
          </c:dPt>
          <c:dPt>
            <c:idx val="4"/>
            <c:invertIfNegative val="0"/>
            <c:bubble3D val="0"/>
            <c:extLst>
              <c:ext xmlns:c16="http://schemas.microsoft.com/office/drawing/2014/chart" uri="{C3380CC4-5D6E-409C-BE32-E72D297353CC}">
                <c16:uniqueId val="{00000005-5252-49AE-B6F8-C609C984E0DB}"/>
              </c:ext>
            </c:extLst>
          </c:dPt>
          <c:dPt>
            <c:idx val="5"/>
            <c:invertIfNegative val="0"/>
            <c:bubble3D val="0"/>
            <c:extLst>
              <c:ext xmlns:c16="http://schemas.microsoft.com/office/drawing/2014/chart" uri="{C3380CC4-5D6E-409C-BE32-E72D297353CC}">
                <c16:uniqueId val="{00000006-5252-49AE-B6F8-C609C984E0DB}"/>
              </c:ext>
            </c:extLst>
          </c:dPt>
          <c:dPt>
            <c:idx val="6"/>
            <c:invertIfNegative val="0"/>
            <c:bubble3D val="0"/>
            <c:extLst>
              <c:ext xmlns:c16="http://schemas.microsoft.com/office/drawing/2014/chart" uri="{C3380CC4-5D6E-409C-BE32-E72D297353CC}">
                <c16:uniqueId val="{00000007-5252-49AE-B6F8-C609C984E0DB}"/>
              </c:ext>
            </c:extLst>
          </c:dPt>
          <c:dLbls>
            <c:dLbl>
              <c:idx val="0"/>
              <c:layout>
                <c:manualLayout>
                  <c:x val="1.8691585728393741E-2"/>
                  <c:y val="-2.5854114595818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52-49AE-B6F8-C609C984E0DB}"/>
                </c:ext>
              </c:extLst>
            </c:dLbl>
            <c:dLbl>
              <c:idx val="1"/>
              <c:layout>
                <c:manualLayout>
                  <c:x val="1.8691585728393724E-2"/>
                  <c:y val="-2.90858789202956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52-49AE-B6F8-C609C984E0DB}"/>
                </c:ext>
              </c:extLst>
            </c:dLbl>
            <c:dLbl>
              <c:idx val="2"/>
              <c:layout>
                <c:manualLayout>
                  <c:x val="1.6614742869683344E-2"/>
                  <c:y val="-3.55494075692500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52-49AE-B6F8-C609C984E0DB}"/>
                </c:ext>
              </c:extLst>
            </c:dLbl>
            <c:dLbl>
              <c:idx val="3"/>
              <c:layout>
                <c:manualLayout>
                  <c:x val="1.8691585728393762E-2"/>
                  <c:y val="-3.87811718937273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52-49AE-B6F8-C609C984E0DB}"/>
                </c:ext>
              </c:extLst>
            </c:dLbl>
            <c:dLbl>
              <c:idx val="4"/>
              <c:layout>
                <c:manualLayout>
                  <c:x val="1.8691585728393762E-2"/>
                  <c:y val="-3.87811718937273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52-49AE-B6F8-C609C984E0DB}"/>
                </c:ext>
              </c:extLst>
            </c:dLbl>
            <c:dLbl>
              <c:idx val="5"/>
              <c:layout>
                <c:manualLayout>
                  <c:x val="2.076842858710418E-2"/>
                  <c:y val="-4.20129362182047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52-49AE-B6F8-C609C984E0DB}"/>
                </c:ext>
              </c:extLst>
            </c:dLbl>
            <c:dLbl>
              <c:idx val="6"/>
              <c:layout>
                <c:manualLayout>
                  <c:x val="1.8691585728393609E-2"/>
                  <c:y val="-3.87811718937274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52-49AE-B6F8-C609C984E0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Data  '!$N$73:$N$80</c:f>
              <c:strCache>
                <c:ptCount val="7"/>
                <c:pt idx="0">
                  <c:v>Monday</c:v>
                </c:pt>
                <c:pt idx="1">
                  <c:v>Tuesday</c:v>
                </c:pt>
                <c:pt idx="2">
                  <c:v>Wednesday</c:v>
                </c:pt>
                <c:pt idx="3">
                  <c:v>Thursday</c:v>
                </c:pt>
                <c:pt idx="4">
                  <c:v>Friday</c:v>
                </c:pt>
                <c:pt idx="5">
                  <c:v>Saturday</c:v>
                </c:pt>
                <c:pt idx="6">
                  <c:v>Sunday</c:v>
                </c:pt>
              </c:strCache>
            </c:strRef>
          </c:cat>
          <c:val>
            <c:numRef>
              <c:f>'Order Data  '!$P$73:$P$80</c:f>
              <c:numCache>
                <c:formatCode>0.00%</c:formatCode>
                <c:ptCount val="7"/>
                <c:pt idx="0">
                  <c:v>0.10052910052910052</c:v>
                </c:pt>
                <c:pt idx="1">
                  <c:v>0.16225749559082892</c:v>
                </c:pt>
                <c:pt idx="2">
                  <c:v>0.14638447971781304</c:v>
                </c:pt>
                <c:pt idx="3">
                  <c:v>0.17636684303350969</c:v>
                </c:pt>
                <c:pt idx="4">
                  <c:v>0.15873015873015872</c:v>
                </c:pt>
                <c:pt idx="5">
                  <c:v>0.12874779541446207</c:v>
                </c:pt>
                <c:pt idx="6">
                  <c:v>0.12698412698412698</c:v>
                </c:pt>
              </c:numCache>
            </c:numRef>
          </c:val>
          <c:extLst>
            <c:ext xmlns:c16="http://schemas.microsoft.com/office/drawing/2014/chart" uri="{C3380CC4-5D6E-409C-BE32-E72D297353CC}">
              <c16:uniqueId val="{00000008-5252-49AE-B6F8-C609C984E0DB}"/>
            </c:ext>
          </c:extLst>
        </c:ser>
        <c:dLbls>
          <c:dLblPos val="outEnd"/>
          <c:showLegendKey val="0"/>
          <c:showVal val="1"/>
          <c:showCatName val="0"/>
          <c:showSerName val="0"/>
          <c:showPercent val="0"/>
          <c:showBubbleSize val="0"/>
        </c:dLbls>
        <c:gapWidth val="219"/>
        <c:overlap val="-27"/>
        <c:axId val="751884504"/>
        <c:axId val="751892784"/>
      </c:barChart>
      <c:catAx>
        <c:axId val="751884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892784"/>
        <c:crosses val="autoZero"/>
        <c:auto val="1"/>
        <c:lblAlgn val="ctr"/>
        <c:lblOffset val="100"/>
        <c:noMultiLvlLbl val="0"/>
      </c:catAx>
      <c:valAx>
        <c:axId val="751892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Percentage Share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884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MENU SPREADSHEET.xlsx]Order Data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Distribution across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'Order Data  '!$O$93:$O$94</c:f>
              <c:strCache>
                <c:ptCount val="1"/>
                <c:pt idx="0">
                  <c:v>REGULAR</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Data  '!$N$95:$N$102</c:f>
              <c:strCache>
                <c:ptCount val="7"/>
                <c:pt idx="0">
                  <c:v>Monday</c:v>
                </c:pt>
                <c:pt idx="1">
                  <c:v>Tuesday</c:v>
                </c:pt>
                <c:pt idx="2">
                  <c:v>Wednesday</c:v>
                </c:pt>
                <c:pt idx="3">
                  <c:v>Thursday</c:v>
                </c:pt>
                <c:pt idx="4">
                  <c:v>Friday</c:v>
                </c:pt>
                <c:pt idx="5">
                  <c:v>Saturday</c:v>
                </c:pt>
                <c:pt idx="6">
                  <c:v>Sunday</c:v>
                </c:pt>
              </c:strCache>
            </c:strRef>
          </c:cat>
          <c:val>
            <c:numRef>
              <c:f>'Order Data  '!$O$95:$O$102</c:f>
              <c:numCache>
                <c:formatCode>General</c:formatCode>
                <c:ptCount val="7"/>
                <c:pt idx="0">
                  <c:v>19</c:v>
                </c:pt>
                <c:pt idx="1">
                  <c:v>43</c:v>
                </c:pt>
                <c:pt idx="2">
                  <c:v>38</c:v>
                </c:pt>
                <c:pt idx="3">
                  <c:v>47</c:v>
                </c:pt>
                <c:pt idx="4">
                  <c:v>37</c:v>
                </c:pt>
                <c:pt idx="5">
                  <c:v>37</c:v>
                </c:pt>
                <c:pt idx="6">
                  <c:v>48</c:v>
                </c:pt>
              </c:numCache>
            </c:numRef>
          </c:val>
          <c:extLst>
            <c:ext xmlns:c16="http://schemas.microsoft.com/office/drawing/2014/chart" uri="{C3380CC4-5D6E-409C-BE32-E72D297353CC}">
              <c16:uniqueId val="{00000000-6EB5-4A04-A340-6C0A5A9C366F}"/>
            </c:ext>
          </c:extLst>
        </c:ser>
        <c:ser>
          <c:idx val="1"/>
          <c:order val="1"/>
          <c:tx>
            <c:strRef>
              <c:f>'Order Data  '!$P$93:$P$94</c:f>
              <c:strCache>
                <c:ptCount val="1"/>
                <c:pt idx="0">
                  <c:v>SUBSCRIPTION</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Data  '!$N$95:$N$102</c:f>
              <c:strCache>
                <c:ptCount val="7"/>
                <c:pt idx="0">
                  <c:v>Monday</c:v>
                </c:pt>
                <c:pt idx="1">
                  <c:v>Tuesday</c:v>
                </c:pt>
                <c:pt idx="2">
                  <c:v>Wednesday</c:v>
                </c:pt>
                <c:pt idx="3">
                  <c:v>Thursday</c:v>
                </c:pt>
                <c:pt idx="4">
                  <c:v>Friday</c:v>
                </c:pt>
                <c:pt idx="5">
                  <c:v>Saturday</c:v>
                </c:pt>
                <c:pt idx="6">
                  <c:v>Sunday</c:v>
                </c:pt>
              </c:strCache>
            </c:strRef>
          </c:cat>
          <c:val>
            <c:numRef>
              <c:f>'Order Data  '!$P$95:$P$102</c:f>
              <c:numCache>
                <c:formatCode>General</c:formatCode>
                <c:ptCount val="7"/>
                <c:pt idx="0">
                  <c:v>38</c:v>
                </c:pt>
                <c:pt idx="1">
                  <c:v>49</c:v>
                </c:pt>
                <c:pt idx="2">
                  <c:v>45</c:v>
                </c:pt>
                <c:pt idx="3">
                  <c:v>53</c:v>
                </c:pt>
                <c:pt idx="4">
                  <c:v>53</c:v>
                </c:pt>
                <c:pt idx="5">
                  <c:v>36</c:v>
                </c:pt>
                <c:pt idx="6">
                  <c:v>24</c:v>
                </c:pt>
              </c:numCache>
            </c:numRef>
          </c:val>
          <c:extLst>
            <c:ext xmlns:c16="http://schemas.microsoft.com/office/drawing/2014/chart" uri="{C3380CC4-5D6E-409C-BE32-E72D297353CC}">
              <c16:uniqueId val="{00000001-6EB5-4A04-A340-6C0A5A9C366F}"/>
            </c:ext>
          </c:extLst>
        </c:ser>
        <c:dLbls>
          <c:showLegendKey val="0"/>
          <c:showVal val="0"/>
          <c:showCatName val="0"/>
          <c:showSerName val="0"/>
          <c:showPercent val="0"/>
          <c:showBubbleSize val="0"/>
        </c:dLbls>
        <c:gapWidth val="219"/>
        <c:overlap val="100"/>
        <c:axId val="586335704"/>
        <c:axId val="586335344"/>
      </c:barChart>
      <c:catAx>
        <c:axId val="586335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 of the 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35344"/>
        <c:crosses val="autoZero"/>
        <c:auto val="1"/>
        <c:lblAlgn val="ctr"/>
        <c:lblOffset val="100"/>
        <c:noMultiLvlLbl val="0"/>
      </c:catAx>
      <c:valAx>
        <c:axId val="586335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Orders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35704"/>
        <c:crosses val="autoZero"/>
        <c:crossBetween val="between"/>
      </c:valAx>
      <c:spPr>
        <a:noFill/>
        <a:ln>
          <a:noFill/>
        </a:ln>
        <a:effectLst/>
      </c:spPr>
    </c:plotArea>
    <c:legend>
      <c:legendPos val="r"/>
      <c:layout>
        <c:manualLayout>
          <c:xMode val="edge"/>
          <c:yMode val="edge"/>
          <c:x val="0.88077568916602189"/>
          <c:y val="0.41835595018707777"/>
          <c:w val="0.10997575592068333"/>
          <c:h val="0.263004039388693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MENU SPREADSHEET.xlsx]Order Data  !PivotTable19</c:name>
    <c:fmtId val="14"/>
  </c:pivotSource>
  <c:chart>
    <c:title>
      <c:tx>
        <c:rich>
          <a:bodyPr rot="0" spcFirstLastPara="1" vertOverflow="ellipsis" vert="horz" wrap="square" anchor="ctr" anchorCtr="1"/>
          <a:lstStyle/>
          <a:p>
            <a:pPr>
              <a:defRPr sz="1212" b="0" i="0" u="none" strike="noStrike" kern="1200" spc="0" baseline="0">
                <a:solidFill>
                  <a:schemeClr val="tx1">
                    <a:lumMod val="95000"/>
                    <a:lumOff val="5000"/>
                  </a:schemeClr>
                </a:solidFill>
                <a:latin typeface="+mn-lt"/>
                <a:ea typeface="+mn-ea"/>
                <a:cs typeface="+mn-cs"/>
              </a:defRPr>
            </a:pPr>
            <a:r>
              <a:rPr lang="en-US"/>
              <a:t>Dish Popularity</a:t>
            </a:r>
          </a:p>
        </c:rich>
      </c:tx>
      <c:overlay val="0"/>
      <c:spPr>
        <a:noFill/>
        <a:ln>
          <a:noFill/>
        </a:ln>
        <a:effectLst/>
      </c:spPr>
      <c:txPr>
        <a:bodyPr rot="0" spcFirstLastPara="1" vertOverflow="ellipsis" vert="horz" wrap="square" anchor="ctr" anchorCtr="1"/>
        <a:lstStyle/>
        <a:p>
          <a:pPr>
            <a:defRPr sz="1212"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1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1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1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Data  '!$O$137</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01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'Order Data  '!$N$138:$N$160</c:f>
              <c:multiLvlStrCache>
                <c:ptCount val="20"/>
                <c:lvl>
                  <c:pt idx="0">
                    <c:v>Ragi idiyapam(4no.s) with white kurma(250ml)</c:v>
                  </c:pt>
                  <c:pt idx="1">
                    <c:v>Steamed rice (500ml), Fish gravy (250ml) with pcs, Rasam (100ml)</c:v>
                  </c:pt>
                  <c:pt idx="2">
                    <c:v>Chicken fried rice (500ml) with sauce</c:v>
                  </c:pt>
                  <c:pt idx="3">
                    <c:v>Idly (4 nos) with vada curry (250ml)</c:v>
                  </c:pt>
                  <c:pt idx="4">
                    <c:v>Steamed rice (500ml), Dhal (250ml), Chicken 65 (100ml), Boiled egg (1 nos), Rasam (100ml)</c:v>
                  </c:pt>
                  <c:pt idx="5">
                    <c:v>Ven pongal(500ml) with sambar (250ml) and coconut chutney (100ml)</c:v>
                  </c:pt>
                  <c:pt idx="6">
                    <c:v>Steamed rice (500ml), Rasam (250ml), Chicken uppu kari(100ml)</c:v>
                  </c:pt>
                  <c:pt idx="7">
                    <c:v>Lemon rice (500ml) with egg pepper fry (2no.s)</c:v>
                  </c:pt>
                  <c:pt idx="8">
                    <c:v>Chapathi (4 pcs) with Chicken curry (250ml)</c:v>
                  </c:pt>
                  <c:pt idx="9">
                    <c:v>Pesarattu dosa(3no.s) with kaara chutney(250ml), Omelette (1 nos)</c:v>
                  </c:pt>
                  <c:pt idx="10">
                    <c:v>Keerai paruppu kadayal</c:v>
                  </c:pt>
                  <c:pt idx="11">
                    <c:v>Chicken Biryani</c:v>
                  </c:pt>
                  <c:pt idx="12">
                    <c:v>Vegetable poriyal</c:v>
                  </c:pt>
                  <c:pt idx="13">
                    <c:v>Chicken thokku</c:v>
                  </c:pt>
                  <c:pt idx="14">
                    <c:v>White rice</c:v>
                  </c:pt>
                  <c:pt idx="15">
                    <c:v>Chicken 65</c:v>
                  </c:pt>
                  <c:pt idx="16">
                    <c:v>Rasam</c:v>
                  </c:pt>
                  <c:pt idx="17">
                    <c:v>Keerai kootu</c:v>
                  </c:pt>
                  <c:pt idx="18">
                    <c:v>Vazhakkai varuval</c:v>
                  </c:pt>
                  <c:pt idx="19">
                    <c:v>Vendakkai poriyal</c:v>
                  </c:pt>
                </c:lvl>
                <c:lvl>
                  <c:pt idx="0">
                    <c:v>SUBSCRIPTION</c:v>
                  </c:pt>
                  <c:pt idx="10">
                    <c:v>REGULAR</c:v>
                  </c:pt>
                </c:lvl>
              </c:multiLvlStrCache>
            </c:multiLvlStrRef>
          </c:cat>
          <c:val>
            <c:numRef>
              <c:f>'Order Data  '!$O$138:$O$160</c:f>
              <c:numCache>
                <c:formatCode>General</c:formatCode>
                <c:ptCount val="20"/>
                <c:pt idx="0">
                  <c:v>10</c:v>
                </c:pt>
                <c:pt idx="1">
                  <c:v>10</c:v>
                </c:pt>
                <c:pt idx="2">
                  <c:v>9</c:v>
                </c:pt>
                <c:pt idx="3">
                  <c:v>9</c:v>
                </c:pt>
                <c:pt idx="4">
                  <c:v>8</c:v>
                </c:pt>
                <c:pt idx="5">
                  <c:v>8</c:v>
                </c:pt>
                <c:pt idx="6">
                  <c:v>8</c:v>
                </c:pt>
                <c:pt idx="7">
                  <c:v>8</c:v>
                </c:pt>
                <c:pt idx="8">
                  <c:v>8</c:v>
                </c:pt>
                <c:pt idx="9">
                  <c:v>8</c:v>
                </c:pt>
                <c:pt idx="10">
                  <c:v>32</c:v>
                </c:pt>
                <c:pt idx="11">
                  <c:v>25</c:v>
                </c:pt>
                <c:pt idx="12">
                  <c:v>22</c:v>
                </c:pt>
                <c:pt idx="13">
                  <c:v>22</c:v>
                </c:pt>
                <c:pt idx="14">
                  <c:v>20</c:v>
                </c:pt>
                <c:pt idx="15">
                  <c:v>20</c:v>
                </c:pt>
                <c:pt idx="16">
                  <c:v>20</c:v>
                </c:pt>
                <c:pt idx="17">
                  <c:v>18</c:v>
                </c:pt>
                <c:pt idx="18">
                  <c:v>16</c:v>
                </c:pt>
                <c:pt idx="19">
                  <c:v>16</c:v>
                </c:pt>
              </c:numCache>
            </c:numRef>
          </c:val>
          <c:extLst>
            <c:ext xmlns:c16="http://schemas.microsoft.com/office/drawing/2014/chart" uri="{C3380CC4-5D6E-409C-BE32-E72D297353CC}">
              <c16:uniqueId val="{00000000-F968-4260-8B38-5150036BC035}"/>
            </c:ext>
          </c:extLst>
        </c:ser>
        <c:dLbls>
          <c:dLblPos val="outEnd"/>
          <c:showLegendKey val="0"/>
          <c:showVal val="1"/>
          <c:showCatName val="0"/>
          <c:showSerName val="0"/>
          <c:showPercent val="0"/>
          <c:showBubbleSize val="0"/>
        </c:dLbls>
        <c:gapWidth val="182"/>
        <c:axId val="739396704"/>
        <c:axId val="739388424"/>
      </c:barChart>
      <c:catAx>
        <c:axId val="739396704"/>
        <c:scaling>
          <c:orientation val="minMax"/>
        </c:scaling>
        <c:delete val="0"/>
        <c:axPos val="l"/>
        <c:title>
          <c:tx>
            <c:rich>
              <a:bodyPr rot="-5400000" spcFirstLastPara="1" vertOverflow="ellipsis" vert="horz" wrap="square" anchor="ctr" anchorCtr="1"/>
              <a:lstStyle/>
              <a:p>
                <a:pPr>
                  <a:defRPr sz="1010" b="0" i="0" u="none" strike="noStrike" kern="1200" baseline="0">
                    <a:solidFill>
                      <a:schemeClr val="tx1">
                        <a:lumMod val="95000"/>
                        <a:lumOff val="5000"/>
                      </a:schemeClr>
                    </a:solidFill>
                    <a:latin typeface="+mn-lt"/>
                    <a:ea typeface="+mn-ea"/>
                    <a:cs typeface="+mn-cs"/>
                  </a:defRPr>
                </a:pPr>
                <a:r>
                  <a:rPr lang="en-IN" sz="1600"/>
                  <a:t>Dishes</a:t>
                </a:r>
              </a:p>
            </c:rich>
          </c:tx>
          <c:overlay val="0"/>
          <c:spPr>
            <a:noFill/>
            <a:ln>
              <a:noFill/>
            </a:ln>
            <a:effectLst/>
          </c:spPr>
          <c:txPr>
            <a:bodyPr rot="-5400000" spcFirstLastPara="1" vertOverflow="ellipsis" vert="horz" wrap="square" anchor="ctr" anchorCtr="1"/>
            <a:lstStyle/>
            <a:p>
              <a:pPr>
                <a:defRPr sz="101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10" b="0" i="0" u="none" strike="noStrike" kern="1200" baseline="0">
                <a:solidFill>
                  <a:schemeClr val="tx1">
                    <a:lumMod val="95000"/>
                    <a:lumOff val="5000"/>
                  </a:schemeClr>
                </a:solidFill>
                <a:latin typeface="+mn-lt"/>
                <a:ea typeface="+mn-ea"/>
                <a:cs typeface="+mn-cs"/>
              </a:defRPr>
            </a:pPr>
            <a:endParaRPr lang="en-US"/>
          </a:p>
        </c:txPr>
        <c:crossAx val="739388424"/>
        <c:crosses val="autoZero"/>
        <c:auto val="1"/>
        <c:lblAlgn val="ctr"/>
        <c:lblOffset val="100"/>
        <c:noMultiLvlLbl val="0"/>
      </c:catAx>
      <c:valAx>
        <c:axId val="739388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10" b="0" i="0" u="none" strike="noStrike" kern="1200" baseline="0">
                    <a:solidFill>
                      <a:schemeClr val="tx1">
                        <a:lumMod val="95000"/>
                        <a:lumOff val="5000"/>
                      </a:schemeClr>
                    </a:solidFill>
                    <a:latin typeface="+mn-lt"/>
                    <a:ea typeface="+mn-ea"/>
                    <a:cs typeface="+mn-cs"/>
                  </a:defRPr>
                </a:pPr>
                <a:r>
                  <a:rPr lang="en-IN" sz="1600"/>
                  <a:t>Frequency</a:t>
                </a:r>
              </a:p>
            </c:rich>
          </c:tx>
          <c:overlay val="0"/>
          <c:spPr>
            <a:noFill/>
            <a:ln>
              <a:noFill/>
            </a:ln>
            <a:effectLst/>
          </c:spPr>
          <c:txPr>
            <a:bodyPr rot="0" spcFirstLastPara="1" vertOverflow="ellipsis" vert="horz" wrap="square" anchor="ctr" anchorCtr="1"/>
            <a:lstStyle/>
            <a:p>
              <a:pPr>
                <a:defRPr sz="101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10" b="0" i="0" u="none" strike="noStrike" kern="1200" baseline="0">
                <a:solidFill>
                  <a:schemeClr val="tx1">
                    <a:lumMod val="95000"/>
                    <a:lumOff val="5000"/>
                  </a:schemeClr>
                </a:solidFill>
                <a:latin typeface="+mn-lt"/>
                <a:ea typeface="+mn-ea"/>
                <a:cs typeface="+mn-cs"/>
              </a:defRPr>
            </a:pPr>
            <a:endParaRPr lang="en-US"/>
          </a:p>
        </c:txPr>
        <c:crossAx val="73939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10" baseline="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MENU SPREADSHEET.xlsx]Order Data  !PivotTable6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Veg vs Non-veg  Item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5050"/>
          </a:solidFill>
          <a:ln w="19050">
            <a:solidFill>
              <a:schemeClr val="lt1"/>
            </a:solidFill>
          </a:ln>
          <a:effectLst/>
        </c:spPr>
      </c:pivotFmt>
      <c:pivotFmt>
        <c:idx val="3"/>
        <c:spPr>
          <a:solidFill>
            <a:schemeClr val="accent3">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5050"/>
          </a:solidFill>
          <a:ln w="19050">
            <a:solidFill>
              <a:schemeClr val="lt1"/>
            </a:solidFill>
          </a:ln>
          <a:effectLst/>
        </c:spPr>
      </c:pivotFmt>
      <c:pivotFmt>
        <c:idx val="6"/>
        <c:spPr>
          <a:solidFill>
            <a:schemeClr val="accent3">
              <a:lumMod val="60000"/>
              <a:lumOff val="40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5050"/>
          </a:solidFill>
          <a:ln w="19050">
            <a:solidFill>
              <a:schemeClr val="lt1"/>
            </a:solidFill>
          </a:ln>
          <a:effectLst/>
        </c:spPr>
      </c:pivotFmt>
      <c:pivotFmt>
        <c:idx val="9"/>
        <c:spPr>
          <a:solidFill>
            <a:schemeClr val="accent3">
              <a:lumMod val="60000"/>
              <a:lumOff val="40000"/>
            </a:schemeClr>
          </a:solidFill>
          <a:ln w="19050">
            <a:solidFill>
              <a:schemeClr val="lt1"/>
            </a:solidFill>
          </a:ln>
          <a:effectLst/>
        </c:spPr>
      </c:pivotFmt>
    </c:pivotFmts>
    <c:plotArea>
      <c:layout>
        <c:manualLayout>
          <c:layoutTarget val="inner"/>
          <c:xMode val="edge"/>
          <c:yMode val="edge"/>
          <c:x val="0.23606835928551329"/>
          <c:y val="0.24628346720214195"/>
          <c:w val="0.4974401267173274"/>
          <c:h val="0.6358718206157965"/>
        </c:manualLayout>
      </c:layout>
      <c:pieChart>
        <c:varyColors val="1"/>
        <c:ser>
          <c:idx val="0"/>
          <c:order val="0"/>
          <c:tx>
            <c:strRef>
              <c:f>'Order Data  '!$O$171</c:f>
              <c:strCache>
                <c:ptCount val="1"/>
                <c:pt idx="0">
                  <c:v>Total</c:v>
                </c:pt>
              </c:strCache>
            </c:strRef>
          </c:tx>
          <c:dPt>
            <c:idx val="0"/>
            <c:bubble3D val="0"/>
            <c:spPr>
              <a:solidFill>
                <a:srgbClr val="FF5050"/>
              </a:solidFill>
              <a:ln w="19050">
                <a:solidFill>
                  <a:schemeClr val="lt1"/>
                </a:solidFill>
              </a:ln>
              <a:effectLst/>
            </c:spPr>
            <c:extLst>
              <c:ext xmlns:c16="http://schemas.microsoft.com/office/drawing/2014/chart" uri="{C3380CC4-5D6E-409C-BE32-E72D297353CC}">
                <c16:uniqueId val="{00000001-92EB-470F-A0D9-FE84E4612800}"/>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92EB-470F-A0D9-FE84E46128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Data  '!$N$172:$N$174</c:f>
              <c:strCache>
                <c:ptCount val="2"/>
                <c:pt idx="0">
                  <c:v>Non-veg</c:v>
                </c:pt>
                <c:pt idx="1">
                  <c:v>Veg</c:v>
                </c:pt>
              </c:strCache>
            </c:strRef>
          </c:cat>
          <c:val>
            <c:numRef>
              <c:f>'Order Data  '!$O$172:$O$174</c:f>
              <c:numCache>
                <c:formatCode>General</c:formatCode>
                <c:ptCount val="2"/>
                <c:pt idx="0">
                  <c:v>386</c:v>
                </c:pt>
                <c:pt idx="1">
                  <c:v>494</c:v>
                </c:pt>
              </c:numCache>
            </c:numRef>
          </c:val>
          <c:extLst>
            <c:ext xmlns:c16="http://schemas.microsoft.com/office/drawing/2014/chart" uri="{C3380CC4-5D6E-409C-BE32-E72D297353CC}">
              <c16:uniqueId val="{00000004-92EB-470F-A0D9-FE84E46128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MENU SPREADSHEET.xlsx]Order Data  !PivotTable28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Daily Revenue and Order Count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Data  '!$O$185</c:f>
              <c:strCache>
                <c:ptCount val="1"/>
                <c:pt idx="0">
                  <c:v>Total Orders</c:v>
                </c:pt>
              </c:strCache>
            </c:strRef>
          </c:tx>
          <c:spPr>
            <a:ln w="28575" cap="rnd">
              <a:solidFill>
                <a:schemeClr val="accent1"/>
              </a:solidFill>
              <a:round/>
            </a:ln>
            <a:effectLst/>
          </c:spPr>
          <c:marker>
            <c:symbol val="none"/>
          </c:marker>
          <c:cat>
            <c:strRef>
              <c:f>'Order Data  '!$N$186:$N$234</c:f>
              <c:strCache>
                <c:ptCount val="48"/>
                <c:pt idx="0">
                  <c:v>06-04-2025</c:v>
                </c:pt>
                <c:pt idx="1">
                  <c:v>08-04-2025</c:v>
                </c:pt>
                <c:pt idx="2">
                  <c:v>09-05-2025</c:v>
                </c:pt>
                <c:pt idx="3">
                  <c:v>09-04-2025</c:v>
                </c:pt>
                <c:pt idx="4">
                  <c:v>04-04-2025</c:v>
                </c:pt>
                <c:pt idx="5">
                  <c:v>14-05-2025</c:v>
                </c:pt>
                <c:pt idx="6">
                  <c:v>01-05-2025</c:v>
                </c:pt>
                <c:pt idx="7">
                  <c:v>05-04-2025</c:v>
                </c:pt>
                <c:pt idx="8">
                  <c:v>20-04-2025</c:v>
                </c:pt>
                <c:pt idx="9">
                  <c:v>07-04-2025</c:v>
                </c:pt>
                <c:pt idx="10">
                  <c:v>19-04-2025</c:v>
                </c:pt>
                <c:pt idx="11">
                  <c:v>11-05-2025</c:v>
                </c:pt>
                <c:pt idx="12">
                  <c:v>13-04-2025</c:v>
                </c:pt>
                <c:pt idx="13">
                  <c:v>18-04-2025</c:v>
                </c:pt>
                <c:pt idx="14">
                  <c:v>10-04-2025</c:v>
                </c:pt>
                <c:pt idx="15">
                  <c:v>02-05-2025</c:v>
                </c:pt>
                <c:pt idx="16">
                  <c:v>03-04-2025</c:v>
                </c:pt>
                <c:pt idx="17">
                  <c:v>26-04-2025</c:v>
                </c:pt>
                <c:pt idx="18">
                  <c:v>27-04-2025</c:v>
                </c:pt>
                <c:pt idx="19">
                  <c:v>13-05-2025</c:v>
                </c:pt>
                <c:pt idx="20">
                  <c:v>16-04-2025</c:v>
                </c:pt>
                <c:pt idx="21">
                  <c:v>28-04-2025</c:v>
                </c:pt>
                <c:pt idx="22">
                  <c:v>10-05-2025</c:v>
                </c:pt>
                <c:pt idx="23">
                  <c:v>15-05-2025</c:v>
                </c:pt>
                <c:pt idx="24">
                  <c:v>24-04-2025</c:v>
                </c:pt>
                <c:pt idx="25">
                  <c:v>08-05-2025</c:v>
                </c:pt>
                <c:pt idx="26">
                  <c:v>29-04-2025</c:v>
                </c:pt>
                <c:pt idx="27">
                  <c:v>12-05-2025</c:v>
                </c:pt>
                <c:pt idx="28">
                  <c:v>23-04-2025</c:v>
                </c:pt>
                <c:pt idx="29">
                  <c:v>17-04-2025</c:v>
                </c:pt>
                <c:pt idx="30">
                  <c:v>07-05-2025</c:v>
                </c:pt>
                <c:pt idx="31">
                  <c:v>12-04-2025</c:v>
                </c:pt>
                <c:pt idx="32">
                  <c:v>06-05-2025</c:v>
                </c:pt>
                <c:pt idx="33">
                  <c:v>15-04-2025</c:v>
                </c:pt>
                <c:pt idx="34">
                  <c:v>02-04-2025</c:v>
                </c:pt>
                <c:pt idx="35">
                  <c:v>01-04-2025</c:v>
                </c:pt>
                <c:pt idx="36">
                  <c:v>22-04-2025</c:v>
                </c:pt>
                <c:pt idx="37">
                  <c:v>16-05-2025</c:v>
                </c:pt>
                <c:pt idx="38">
                  <c:v>14-04-2025</c:v>
                </c:pt>
                <c:pt idx="39">
                  <c:v>11-04-2025</c:v>
                </c:pt>
                <c:pt idx="40">
                  <c:v>25-04-2025</c:v>
                </c:pt>
                <c:pt idx="41">
                  <c:v>21-04-2025</c:v>
                </c:pt>
                <c:pt idx="42">
                  <c:v>17-05-2025</c:v>
                </c:pt>
                <c:pt idx="43">
                  <c:v>18-05-2025</c:v>
                </c:pt>
                <c:pt idx="44">
                  <c:v>05-05-2025</c:v>
                </c:pt>
                <c:pt idx="45">
                  <c:v>04-05-2025</c:v>
                </c:pt>
                <c:pt idx="46">
                  <c:v>03-05-2025</c:v>
                </c:pt>
                <c:pt idx="47">
                  <c:v>26-05-2025</c:v>
                </c:pt>
              </c:strCache>
            </c:strRef>
          </c:cat>
          <c:val>
            <c:numRef>
              <c:f>'Order Data  '!$O$186:$O$234</c:f>
              <c:numCache>
                <c:formatCode>General</c:formatCode>
                <c:ptCount val="48"/>
                <c:pt idx="0">
                  <c:v>20</c:v>
                </c:pt>
                <c:pt idx="1">
                  <c:v>21</c:v>
                </c:pt>
                <c:pt idx="2">
                  <c:v>13</c:v>
                </c:pt>
                <c:pt idx="3">
                  <c:v>19</c:v>
                </c:pt>
                <c:pt idx="4">
                  <c:v>18</c:v>
                </c:pt>
                <c:pt idx="5">
                  <c:v>18</c:v>
                </c:pt>
                <c:pt idx="6">
                  <c:v>15</c:v>
                </c:pt>
                <c:pt idx="7">
                  <c:v>17</c:v>
                </c:pt>
                <c:pt idx="8">
                  <c:v>14</c:v>
                </c:pt>
                <c:pt idx="9">
                  <c:v>16</c:v>
                </c:pt>
                <c:pt idx="10">
                  <c:v>16</c:v>
                </c:pt>
                <c:pt idx="11">
                  <c:v>12</c:v>
                </c:pt>
                <c:pt idx="12">
                  <c:v>13</c:v>
                </c:pt>
                <c:pt idx="13">
                  <c:v>16</c:v>
                </c:pt>
                <c:pt idx="14">
                  <c:v>15</c:v>
                </c:pt>
                <c:pt idx="15">
                  <c:v>15</c:v>
                </c:pt>
                <c:pt idx="16">
                  <c:v>18</c:v>
                </c:pt>
                <c:pt idx="17">
                  <c:v>14</c:v>
                </c:pt>
                <c:pt idx="18">
                  <c:v>11</c:v>
                </c:pt>
                <c:pt idx="19">
                  <c:v>18</c:v>
                </c:pt>
                <c:pt idx="20">
                  <c:v>15</c:v>
                </c:pt>
                <c:pt idx="21">
                  <c:v>13</c:v>
                </c:pt>
                <c:pt idx="22">
                  <c:v>11</c:v>
                </c:pt>
                <c:pt idx="23">
                  <c:v>16</c:v>
                </c:pt>
                <c:pt idx="24">
                  <c:v>13</c:v>
                </c:pt>
                <c:pt idx="25">
                  <c:v>10</c:v>
                </c:pt>
                <c:pt idx="26">
                  <c:v>13</c:v>
                </c:pt>
                <c:pt idx="27">
                  <c:v>12</c:v>
                </c:pt>
                <c:pt idx="28">
                  <c:v>12</c:v>
                </c:pt>
                <c:pt idx="29">
                  <c:v>13</c:v>
                </c:pt>
                <c:pt idx="30">
                  <c:v>8</c:v>
                </c:pt>
                <c:pt idx="31">
                  <c:v>12</c:v>
                </c:pt>
                <c:pt idx="32">
                  <c:v>6</c:v>
                </c:pt>
                <c:pt idx="33">
                  <c:v>13</c:v>
                </c:pt>
                <c:pt idx="34">
                  <c:v>11</c:v>
                </c:pt>
                <c:pt idx="35">
                  <c:v>11</c:v>
                </c:pt>
                <c:pt idx="36">
                  <c:v>10</c:v>
                </c:pt>
                <c:pt idx="37">
                  <c:v>12</c:v>
                </c:pt>
                <c:pt idx="38">
                  <c:v>8</c:v>
                </c:pt>
                <c:pt idx="39">
                  <c:v>9</c:v>
                </c:pt>
                <c:pt idx="40">
                  <c:v>7</c:v>
                </c:pt>
                <c:pt idx="41">
                  <c:v>5</c:v>
                </c:pt>
                <c:pt idx="42">
                  <c:v>1</c:v>
                </c:pt>
                <c:pt idx="43">
                  <c:v>1</c:v>
                </c:pt>
                <c:pt idx="44">
                  <c:v>2</c:v>
                </c:pt>
                <c:pt idx="45">
                  <c:v>1</c:v>
                </c:pt>
                <c:pt idx="46">
                  <c:v>2</c:v>
                </c:pt>
                <c:pt idx="47">
                  <c:v>1</c:v>
                </c:pt>
              </c:numCache>
            </c:numRef>
          </c:val>
          <c:smooth val="0"/>
          <c:extLst>
            <c:ext xmlns:c16="http://schemas.microsoft.com/office/drawing/2014/chart" uri="{C3380CC4-5D6E-409C-BE32-E72D297353CC}">
              <c16:uniqueId val="{00000000-3996-4824-A25D-842EBF76FD79}"/>
            </c:ext>
          </c:extLst>
        </c:ser>
        <c:dLbls>
          <c:showLegendKey val="0"/>
          <c:showVal val="0"/>
          <c:showCatName val="0"/>
          <c:showSerName val="0"/>
          <c:showPercent val="0"/>
          <c:showBubbleSize val="0"/>
        </c:dLbls>
        <c:marker val="1"/>
        <c:smooth val="0"/>
        <c:axId val="1252549408"/>
        <c:axId val="1252556968"/>
      </c:lineChart>
      <c:lineChart>
        <c:grouping val="standard"/>
        <c:varyColors val="0"/>
        <c:ser>
          <c:idx val="1"/>
          <c:order val="1"/>
          <c:tx>
            <c:strRef>
              <c:f>'Order Data  '!$P$185</c:f>
              <c:strCache>
                <c:ptCount val="1"/>
                <c:pt idx="0">
                  <c:v>Total Revenue</c:v>
                </c:pt>
              </c:strCache>
            </c:strRef>
          </c:tx>
          <c:spPr>
            <a:ln w="28575" cap="rnd">
              <a:solidFill>
                <a:schemeClr val="accent2"/>
              </a:solidFill>
              <a:round/>
            </a:ln>
            <a:effectLst/>
          </c:spPr>
          <c:marker>
            <c:symbol val="none"/>
          </c:marker>
          <c:cat>
            <c:strRef>
              <c:f>'Order Data  '!$N$186:$N$234</c:f>
              <c:strCache>
                <c:ptCount val="48"/>
                <c:pt idx="0">
                  <c:v>06-04-2025</c:v>
                </c:pt>
                <c:pt idx="1">
                  <c:v>08-04-2025</c:v>
                </c:pt>
                <c:pt idx="2">
                  <c:v>09-05-2025</c:v>
                </c:pt>
                <c:pt idx="3">
                  <c:v>09-04-2025</c:v>
                </c:pt>
                <c:pt idx="4">
                  <c:v>04-04-2025</c:v>
                </c:pt>
                <c:pt idx="5">
                  <c:v>14-05-2025</c:v>
                </c:pt>
                <c:pt idx="6">
                  <c:v>01-05-2025</c:v>
                </c:pt>
                <c:pt idx="7">
                  <c:v>05-04-2025</c:v>
                </c:pt>
                <c:pt idx="8">
                  <c:v>20-04-2025</c:v>
                </c:pt>
                <c:pt idx="9">
                  <c:v>07-04-2025</c:v>
                </c:pt>
                <c:pt idx="10">
                  <c:v>19-04-2025</c:v>
                </c:pt>
                <c:pt idx="11">
                  <c:v>11-05-2025</c:v>
                </c:pt>
                <c:pt idx="12">
                  <c:v>13-04-2025</c:v>
                </c:pt>
                <c:pt idx="13">
                  <c:v>18-04-2025</c:v>
                </c:pt>
                <c:pt idx="14">
                  <c:v>10-04-2025</c:v>
                </c:pt>
                <c:pt idx="15">
                  <c:v>02-05-2025</c:v>
                </c:pt>
                <c:pt idx="16">
                  <c:v>03-04-2025</c:v>
                </c:pt>
                <c:pt idx="17">
                  <c:v>26-04-2025</c:v>
                </c:pt>
                <c:pt idx="18">
                  <c:v>27-04-2025</c:v>
                </c:pt>
                <c:pt idx="19">
                  <c:v>13-05-2025</c:v>
                </c:pt>
                <c:pt idx="20">
                  <c:v>16-04-2025</c:v>
                </c:pt>
                <c:pt idx="21">
                  <c:v>28-04-2025</c:v>
                </c:pt>
                <c:pt idx="22">
                  <c:v>10-05-2025</c:v>
                </c:pt>
                <c:pt idx="23">
                  <c:v>15-05-2025</c:v>
                </c:pt>
                <c:pt idx="24">
                  <c:v>24-04-2025</c:v>
                </c:pt>
                <c:pt idx="25">
                  <c:v>08-05-2025</c:v>
                </c:pt>
                <c:pt idx="26">
                  <c:v>29-04-2025</c:v>
                </c:pt>
                <c:pt idx="27">
                  <c:v>12-05-2025</c:v>
                </c:pt>
                <c:pt idx="28">
                  <c:v>23-04-2025</c:v>
                </c:pt>
                <c:pt idx="29">
                  <c:v>17-04-2025</c:v>
                </c:pt>
                <c:pt idx="30">
                  <c:v>07-05-2025</c:v>
                </c:pt>
                <c:pt idx="31">
                  <c:v>12-04-2025</c:v>
                </c:pt>
                <c:pt idx="32">
                  <c:v>06-05-2025</c:v>
                </c:pt>
                <c:pt idx="33">
                  <c:v>15-04-2025</c:v>
                </c:pt>
                <c:pt idx="34">
                  <c:v>02-04-2025</c:v>
                </c:pt>
                <c:pt idx="35">
                  <c:v>01-04-2025</c:v>
                </c:pt>
                <c:pt idx="36">
                  <c:v>22-04-2025</c:v>
                </c:pt>
                <c:pt idx="37">
                  <c:v>16-05-2025</c:v>
                </c:pt>
                <c:pt idx="38">
                  <c:v>14-04-2025</c:v>
                </c:pt>
                <c:pt idx="39">
                  <c:v>11-04-2025</c:v>
                </c:pt>
                <c:pt idx="40">
                  <c:v>25-04-2025</c:v>
                </c:pt>
                <c:pt idx="41">
                  <c:v>21-04-2025</c:v>
                </c:pt>
                <c:pt idx="42">
                  <c:v>17-05-2025</c:v>
                </c:pt>
                <c:pt idx="43">
                  <c:v>18-05-2025</c:v>
                </c:pt>
                <c:pt idx="44">
                  <c:v>05-05-2025</c:v>
                </c:pt>
                <c:pt idx="45">
                  <c:v>04-05-2025</c:v>
                </c:pt>
                <c:pt idx="46">
                  <c:v>03-05-2025</c:v>
                </c:pt>
                <c:pt idx="47">
                  <c:v>26-05-2025</c:v>
                </c:pt>
              </c:strCache>
            </c:strRef>
          </c:cat>
          <c:val>
            <c:numRef>
              <c:f>'Order Data  '!$P$186:$P$234</c:f>
              <c:numCache>
                <c:formatCode>General</c:formatCode>
                <c:ptCount val="48"/>
                <c:pt idx="0">
                  <c:v>5736</c:v>
                </c:pt>
                <c:pt idx="1">
                  <c:v>5028</c:v>
                </c:pt>
                <c:pt idx="2">
                  <c:v>3938</c:v>
                </c:pt>
                <c:pt idx="3">
                  <c:v>3936</c:v>
                </c:pt>
                <c:pt idx="4">
                  <c:v>3891</c:v>
                </c:pt>
                <c:pt idx="5">
                  <c:v>3864</c:v>
                </c:pt>
                <c:pt idx="6">
                  <c:v>3826</c:v>
                </c:pt>
                <c:pt idx="7">
                  <c:v>3817</c:v>
                </c:pt>
                <c:pt idx="8">
                  <c:v>3814</c:v>
                </c:pt>
                <c:pt idx="9">
                  <c:v>3772</c:v>
                </c:pt>
                <c:pt idx="10">
                  <c:v>3595</c:v>
                </c:pt>
                <c:pt idx="11">
                  <c:v>3527</c:v>
                </c:pt>
                <c:pt idx="12">
                  <c:v>3396</c:v>
                </c:pt>
                <c:pt idx="13">
                  <c:v>3280</c:v>
                </c:pt>
                <c:pt idx="14">
                  <c:v>3179</c:v>
                </c:pt>
                <c:pt idx="15">
                  <c:v>3048</c:v>
                </c:pt>
                <c:pt idx="16">
                  <c:v>3044</c:v>
                </c:pt>
                <c:pt idx="17">
                  <c:v>3043</c:v>
                </c:pt>
                <c:pt idx="18">
                  <c:v>2924</c:v>
                </c:pt>
                <c:pt idx="19">
                  <c:v>2901</c:v>
                </c:pt>
                <c:pt idx="20">
                  <c:v>2786</c:v>
                </c:pt>
                <c:pt idx="21">
                  <c:v>2690</c:v>
                </c:pt>
                <c:pt idx="22">
                  <c:v>2674</c:v>
                </c:pt>
                <c:pt idx="23">
                  <c:v>2591</c:v>
                </c:pt>
                <c:pt idx="24">
                  <c:v>2442</c:v>
                </c:pt>
                <c:pt idx="25">
                  <c:v>2409</c:v>
                </c:pt>
                <c:pt idx="26">
                  <c:v>2390</c:v>
                </c:pt>
                <c:pt idx="27">
                  <c:v>2257</c:v>
                </c:pt>
                <c:pt idx="28">
                  <c:v>2256</c:v>
                </c:pt>
                <c:pt idx="29">
                  <c:v>2255</c:v>
                </c:pt>
                <c:pt idx="30">
                  <c:v>2179</c:v>
                </c:pt>
                <c:pt idx="31">
                  <c:v>2143</c:v>
                </c:pt>
                <c:pt idx="32">
                  <c:v>1984</c:v>
                </c:pt>
                <c:pt idx="33">
                  <c:v>1810</c:v>
                </c:pt>
                <c:pt idx="34">
                  <c:v>1660</c:v>
                </c:pt>
                <c:pt idx="35">
                  <c:v>1556</c:v>
                </c:pt>
                <c:pt idx="36">
                  <c:v>1529</c:v>
                </c:pt>
                <c:pt idx="37">
                  <c:v>1384</c:v>
                </c:pt>
                <c:pt idx="38">
                  <c:v>1184</c:v>
                </c:pt>
                <c:pt idx="39">
                  <c:v>1110</c:v>
                </c:pt>
                <c:pt idx="40">
                  <c:v>874</c:v>
                </c:pt>
                <c:pt idx="41">
                  <c:v>503</c:v>
                </c:pt>
                <c:pt idx="42">
                  <c:v>405</c:v>
                </c:pt>
                <c:pt idx="43">
                  <c:v>380</c:v>
                </c:pt>
                <c:pt idx="44">
                  <c:v>289</c:v>
                </c:pt>
                <c:pt idx="45">
                  <c:v>280</c:v>
                </c:pt>
                <c:pt idx="46">
                  <c:v>278</c:v>
                </c:pt>
                <c:pt idx="47">
                  <c:v>129</c:v>
                </c:pt>
              </c:numCache>
            </c:numRef>
          </c:val>
          <c:smooth val="0"/>
          <c:extLst>
            <c:ext xmlns:c16="http://schemas.microsoft.com/office/drawing/2014/chart" uri="{C3380CC4-5D6E-409C-BE32-E72D297353CC}">
              <c16:uniqueId val="{00000001-3996-4824-A25D-842EBF76FD79}"/>
            </c:ext>
          </c:extLst>
        </c:ser>
        <c:dLbls>
          <c:showLegendKey val="0"/>
          <c:showVal val="0"/>
          <c:showCatName val="0"/>
          <c:showSerName val="0"/>
          <c:showPercent val="0"/>
          <c:showBubbleSize val="0"/>
        </c:dLbls>
        <c:marker val="1"/>
        <c:smooth val="0"/>
        <c:axId val="1252587208"/>
        <c:axId val="1252586488"/>
      </c:lineChart>
      <c:catAx>
        <c:axId val="125254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556968"/>
        <c:crosses val="autoZero"/>
        <c:auto val="1"/>
        <c:lblAlgn val="ctr"/>
        <c:lblOffset val="100"/>
        <c:tickLblSkip val="3"/>
        <c:noMultiLvlLbl val="0"/>
      </c:catAx>
      <c:valAx>
        <c:axId val="1252556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Orders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549408"/>
        <c:crosses val="autoZero"/>
        <c:crossBetween val="between"/>
      </c:valAx>
      <c:valAx>
        <c:axId val="12525864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r>
                  <a:rPr lang="en-IN" sz="1000" b="0" i="0" u="none" strike="noStrike" baseline="0"/>
                  <a: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587208"/>
        <c:crosses val="max"/>
        <c:crossBetween val="between"/>
      </c:valAx>
      <c:catAx>
        <c:axId val="1252587208"/>
        <c:scaling>
          <c:orientation val="minMax"/>
        </c:scaling>
        <c:delete val="1"/>
        <c:axPos val="b"/>
        <c:numFmt formatCode="General" sourceLinked="1"/>
        <c:majorTickMark val="out"/>
        <c:minorTickMark val="none"/>
        <c:tickLblPos val="nextTo"/>
        <c:crossAx val="1252586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MENU SPREADSHEET.xlsx]Order Data  !PivotTable21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Distribution across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21998007335436E-2"/>
          <c:y val="9.0149285837863996E-2"/>
          <c:w val="0.84670450835200095"/>
          <c:h val="0.80212047744521486"/>
        </c:manualLayout>
      </c:layout>
      <c:barChart>
        <c:barDir val="bar"/>
        <c:grouping val="stacked"/>
        <c:varyColors val="0"/>
        <c:ser>
          <c:idx val="0"/>
          <c:order val="0"/>
          <c:tx>
            <c:strRef>
              <c:f>'Order Data  '!$O$324:$O$325</c:f>
              <c:strCache>
                <c:ptCount val="1"/>
                <c:pt idx="0">
                  <c:v>Breakfast</c:v>
                </c:pt>
              </c:strCache>
            </c:strRef>
          </c:tx>
          <c:spPr>
            <a:solidFill>
              <a:schemeClr val="accent1"/>
            </a:solidFill>
            <a:ln>
              <a:noFill/>
            </a:ln>
            <a:effectLst/>
          </c:spPr>
          <c:invertIfNegative val="0"/>
          <c:cat>
            <c:strRef>
              <c:f>'Order Data  '!$N$326:$N$374</c:f>
              <c:strCache>
                <c:ptCount val="48"/>
                <c:pt idx="0">
                  <c:v>01-04-2025</c:v>
                </c:pt>
                <c:pt idx="1">
                  <c:v>02-04-2025</c:v>
                </c:pt>
                <c:pt idx="2">
                  <c:v>03-04-2025</c:v>
                </c:pt>
                <c:pt idx="3">
                  <c:v>04-04-2025</c:v>
                </c:pt>
                <c:pt idx="4">
                  <c:v>05-04-2025</c:v>
                </c:pt>
                <c:pt idx="5">
                  <c:v>06-04-2025</c:v>
                </c:pt>
                <c:pt idx="6">
                  <c:v>07-04-2025</c:v>
                </c:pt>
                <c:pt idx="7">
                  <c:v>08-04-2025</c:v>
                </c:pt>
                <c:pt idx="8">
                  <c:v>09-04-2025</c:v>
                </c:pt>
                <c:pt idx="9">
                  <c:v>10-04-2025</c:v>
                </c:pt>
                <c:pt idx="10">
                  <c:v>11-04-2025</c:v>
                </c:pt>
                <c:pt idx="11">
                  <c:v>12-04-2025</c:v>
                </c:pt>
                <c:pt idx="12">
                  <c:v>13-04-2025</c:v>
                </c:pt>
                <c:pt idx="13">
                  <c:v>14-04-2025</c:v>
                </c:pt>
                <c:pt idx="14">
                  <c:v>15-04-2025</c:v>
                </c:pt>
                <c:pt idx="15">
                  <c:v>16-04-2025</c:v>
                </c:pt>
                <c:pt idx="16">
                  <c:v>17-04-2025</c:v>
                </c:pt>
                <c:pt idx="17">
                  <c:v>18-04-2025</c:v>
                </c:pt>
                <c:pt idx="18">
                  <c:v>19-04-2025</c:v>
                </c:pt>
                <c:pt idx="19">
                  <c:v>20-04-2025</c:v>
                </c:pt>
                <c:pt idx="20">
                  <c:v>21-04-2025</c:v>
                </c:pt>
                <c:pt idx="21">
                  <c:v>22-04-2025</c:v>
                </c:pt>
                <c:pt idx="22">
                  <c:v>23-04-2025</c:v>
                </c:pt>
                <c:pt idx="23">
                  <c:v>24-04-2025</c:v>
                </c:pt>
                <c:pt idx="24">
                  <c:v>25-04-2025</c:v>
                </c:pt>
                <c:pt idx="25">
                  <c:v>26-04-2025</c:v>
                </c:pt>
                <c:pt idx="26">
                  <c:v>27-04-2025</c:v>
                </c:pt>
                <c:pt idx="27">
                  <c:v>28-04-2025</c:v>
                </c:pt>
                <c:pt idx="28">
                  <c:v>29-04-2025</c:v>
                </c:pt>
                <c:pt idx="29">
                  <c:v>01-05-2025</c:v>
                </c:pt>
                <c:pt idx="30">
                  <c:v>02-05-2025</c:v>
                </c:pt>
                <c:pt idx="31">
                  <c:v>03-05-2025</c:v>
                </c:pt>
                <c:pt idx="32">
                  <c:v>04-05-2025</c:v>
                </c:pt>
                <c:pt idx="33">
                  <c:v>05-05-2025</c:v>
                </c:pt>
                <c:pt idx="34">
                  <c:v>06-05-2025</c:v>
                </c:pt>
                <c:pt idx="35">
                  <c:v>07-05-2025</c:v>
                </c:pt>
                <c:pt idx="36">
                  <c:v>08-05-2025</c:v>
                </c:pt>
                <c:pt idx="37">
                  <c:v>09-05-2025</c:v>
                </c:pt>
                <c:pt idx="38">
                  <c:v>10-05-2025</c:v>
                </c:pt>
                <c:pt idx="39">
                  <c:v>11-05-2025</c:v>
                </c:pt>
                <c:pt idx="40">
                  <c:v>12-05-2025</c:v>
                </c:pt>
                <c:pt idx="41">
                  <c:v>13-05-2025</c:v>
                </c:pt>
                <c:pt idx="42">
                  <c:v>14-05-2025</c:v>
                </c:pt>
                <c:pt idx="43">
                  <c:v>15-05-2025</c:v>
                </c:pt>
                <c:pt idx="44">
                  <c:v>16-05-2025</c:v>
                </c:pt>
                <c:pt idx="45">
                  <c:v>17-05-2025</c:v>
                </c:pt>
                <c:pt idx="46">
                  <c:v>18-05-2025</c:v>
                </c:pt>
                <c:pt idx="47">
                  <c:v>26-05-2025</c:v>
                </c:pt>
              </c:strCache>
            </c:strRef>
          </c:cat>
          <c:val>
            <c:numRef>
              <c:f>'Order Data  '!$O$326:$O$374</c:f>
              <c:numCache>
                <c:formatCode>General</c:formatCode>
                <c:ptCount val="48"/>
                <c:pt idx="0">
                  <c:v>297</c:v>
                </c:pt>
                <c:pt idx="1">
                  <c:v>404</c:v>
                </c:pt>
                <c:pt idx="2">
                  <c:v>354</c:v>
                </c:pt>
                <c:pt idx="3">
                  <c:v>396</c:v>
                </c:pt>
                <c:pt idx="4">
                  <c:v>237</c:v>
                </c:pt>
                <c:pt idx="5">
                  <c:v>315</c:v>
                </c:pt>
                <c:pt idx="7">
                  <c:v>99</c:v>
                </c:pt>
                <c:pt idx="8">
                  <c:v>287</c:v>
                </c:pt>
                <c:pt idx="9">
                  <c:v>275</c:v>
                </c:pt>
                <c:pt idx="10">
                  <c:v>297</c:v>
                </c:pt>
                <c:pt idx="11">
                  <c:v>237</c:v>
                </c:pt>
                <c:pt idx="12">
                  <c:v>315</c:v>
                </c:pt>
                <c:pt idx="13">
                  <c:v>257</c:v>
                </c:pt>
                <c:pt idx="14">
                  <c:v>297</c:v>
                </c:pt>
                <c:pt idx="15">
                  <c:v>307</c:v>
                </c:pt>
                <c:pt idx="16">
                  <c:v>275</c:v>
                </c:pt>
                <c:pt idx="17">
                  <c:v>99</c:v>
                </c:pt>
                <c:pt idx="18">
                  <c:v>316</c:v>
                </c:pt>
                <c:pt idx="19">
                  <c:v>117</c:v>
                </c:pt>
                <c:pt idx="20">
                  <c:v>99</c:v>
                </c:pt>
                <c:pt idx="21">
                  <c:v>198</c:v>
                </c:pt>
                <c:pt idx="22">
                  <c:v>129</c:v>
                </c:pt>
                <c:pt idx="23">
                  <c:v>117</c:v>
                </c:pt>
                <c:pt idx="24">
                  <c:v>99</c:v>
                </c:pt>
                <c:pt idx="25">
                  <c:v>79</c:v>
                </c:pt>
                <c:pt idx="27">
                  <c:v>99</c:v>
                </c:pt>
                <c:pt idx="28">
                  <c:v>99</c:v>
                </c:pt>
                <c:pt idx="29">
                  <c:v>117</c:v>
                </c:pt>
                <c:pt idx="30">
                  <c:v>99</c:v>
                </c:pt>
                <c:pt idx="37">
                  <c:v>112</c:v>
                </c:pt>
                <c:pt idx="38">
                  <c:v>117</c:v>
                </c:pt>
                <c:pt idx="39">
                  <c:v>216</c:v>
                </c:pt>
                <c:pt idx="40">
                  <c:v>191</c:v>
                </c:pt>
                <c:pt idx="41">
                  <c:v>297</c:v>
                </c:pt>
                <c:pt idx="42">
                  <c:v>158</c:v>
                </c:pt>
                <c:pt idx="43">
                  <c:v>257</c:v>
                </c:pt>
                <c:pt idx="44">
                  <c:v>426</c:v>
                </c:pt>
              </c:numCache>
            </c:numRef>
          </c:val>
          <c:extLst>
            <c:ext xmlns:c16="http://schemas.microsoft.com/office/drawing/2014/chart" uri="{C3380CC4-5D6E-409C-BE32-E72D297353CC}">
              <c16:uniqueId val="{00000000-92DC-45BB-8A27-2394C2672EE2}"/>
            </c:ext>
          </c:extLst>
        </c:ser>
        <c:ser>
          <c:idx val="1"/>
          <c:order val="1"/>
          <c:tx>
            <c:strRef>
              <c:f>'Order Data  '!$P$324:$P$325</c:f>
              <c:strCache>
                <c:ptCount val="1"/>
                <c:pt idx="0">
                  <c:v>Dinner</c:v>
                </c:pt>
              </c:strCache>
            </c:strRef>
          </c:tx>
          <c:spPr>
            <a:solidFill>
              <a:schemeClr val="accent2"/>
            </a:solidFill>
            <a:ln>
              <a:noFill/>
            </a:ln>
            <a:effectLst/>
          </c:spPr>
          <c:invertIfNegative val="0"/>
          <c:cat>
            <c:strRef>
              <c:f>'Order Data  '!$N$326:$N$374</c:f>
              <c:strCache>
                <c:ptCount val="48"/>
                <c:pt idx="0">
                  <c:v>01-04-2025</c:v>
                </c:pt>
                <c:pt idx="1">
                  <c:v>02-04-2025</c:v>
                </c:pt>
                <c:pt idx="2">
                  <c:v>03-04-2025</c:v>
                </c:pt>
                <c:pt idx="3">
                  <c:v>04-04-2025</c:v>
                </c:pt>
                <c:pt idx="4">
                  <c:v>05-04-2025</c:v>
                </c:pt>
                <c:pt idx="5">
                  <c:v>06-04-2025</c:v>
                </c:pt>
                <c:pt idx="6">
                  <c:v>07-04-2025</c:v>
                </c:pt>
                <c:pt idx="7">
                  <c:v>08-04-2025</c:v>
                </c:pt>
                <c:pt idx="8">
                  <c:v>09-04-2025</c:v>
                </c:pt>
                <c:pt idx="9">
                  <c:v>10-04-2025</c:v>
                </c:pt>
                <c:pt idx="10">
                  <c:v>11-04-2025</c:v>
                </c:pt>
                <c:pt idx="11">
                  <c:v>12-04-2025</c:v>
                </c:pt>
                <c:pt idx="12">
                  <c:v>13-04-2025</c:v>
                </c:pt>
                <c:pt idx="13">
                  <c:v>14-04-2025</c:v>
                </c:pt>
                <c:pt idx="14">
                  <c:v>15-04-2025</c:v>
                </c:pt>
                <c:pt idx="15">
                  <c:v>16-04-2025</c:v>
                </c:pt>
                <c:pt idx="16">
                  <c:v>17-04-2025</c:v>
                </c:pt>
                <c:pt idx="17">
                  <c:v>18-04-2025</c:v>
                </c:pt>
                <c:pt idx="18">
                  <c:v>19-04-2025</c:v>
                </c:pt>
                <c:pt idx="19">
                  <c:v>20-04-2025</c:v>
                </c:pt>
                <c:pt idx="20">
                  <c:v>21-04-2025</c:v>
                </c:pt>
                <c:pt idx="21">
                  <c:v>22-04-2025</c:v>
                </c:pt>
                <c:pt idx="22">
                  <c:v>23-04-2025</c:v>
                </c:pt>
                <c:pt idx="23">
                  <c:v>24-04-2025</c:v>
                </c:pt>
                <c:pt idx="24">
                  <c:v>25-04-2025</c:v>
                </c:pt>
                <c:pt idx="25">
                  <c:v>26-04-2025</c:v>
                </c:pt>
                <c:pt idx="26">
                  <c:v>27-04-2025</c:v>
                </c:pt>
                <c:pt idx="27">
                  <c:v>28-04-2025</c:v>
                </c:pt>
                <c:pt idx="28">
                  <c:v>29-04-2025</c:v>
                </c:pt>
                <c:pt idx="29">
                  <c:v>01-05-2025</c:v>
                </c:pt>
                <c:pt idx="30">
                  <c:v>02-05-2025</c:v>
                </c:pt>
                <c:pt idx="31">
                  <c:v>03-05-2025</c:v>
                </c:pt>
                <c:pt idx="32">
                  <c:v>04-05-2025</c:v>
                </c:pt>
                <c:pt idx="33">
                  <c:v>05-05-2025</c:v>
                </c:pt>
                <c:pt idx="34">
                  <c:v>06-05-2025</c:v>
                </c:pt>
                <c:pt idx="35">
                  <c:v>07-05-2025</c:v>
                </c:pt>
                <c:pt idx="36">
                  <c:v>08-05-2025</c:v>
                </c:pt>
                <c:pt idx="37">
                  <c:v>09-05-2025</c:v>
                </c:pt>
                <c:pt idx="38">
                  <c:v>10-05-2025</c:v>
                </c:pt>
                <c:pt idx="39">
                  <c:v>11-05-2025</c:v>
                </c:pt>
                <c:pt idx="40">
                  <c:v>12-05-2025</c:v>
                </c:pt>
                <c:pt idx="41">
                  <c:v>13-05-2025</c:v>
                </c:pt>
                <c:pt idx="42">
                  <c:v>14-05-2025</c:v>
                </c:pt>
                <c:pt idx="43">
                  <c:v>15-05-2025</c:v>
                </c:pt>
                <c:pt idx="44">
                  <c:v>16-05-2025</c:v>
                </c:pt>
                <c:pt idx="45">
                  <c:v>17-05-2025</c:v>
                </c:pt>
                <c:pt idx="46">
                  <c:v>18-05-2025</c:v>
                </c:pt>
                <c:pt idx="47">
                  <c:v>26-05-2025</c:v>
                </c:pt>
              </c:strCache>
            </c:strRef>
          </c:cat>
          <c:val>
            <c:numRef>
              <c:f>'Order Data  '!$P$326:$P$374</c:f>
              <c:numCache>
                <c:formatCode>General</c:formatCode>
                <c:ptCount val="48"/>
                <c:pt idx="0">
                  <c:v>345</c:v>
                </c:pt>
                <c:pt idx="1">
                  <c:v>310</c:v>
                </c:pt>
                <c:pt idx="2">
                  <c:v>415</c:v>
                </c:pt>
                <c:pt idx="3">
                  <c:v>327</c:v>
                </c:pt>
                <c:pt idx="4">
                  <c:v>149</c:v>
                </c:pt>
                <c:pt idx="5">
                  <c:v>258</c:v>
                </c:pt>
                <c:pt idx="6">
                  <c:v>79</c:v>
                </c:pt>
                <c:pt idx="7">
                  <c:v>315</c:v>
                </c:pt>
                <c:pt idx="8">
                  <c:v>310</c:v>
                </c:pt>
                <c:pt idx="9">
                  <c:v>117</c:v>
                </c:pt>
                <c:pt idx="10">
                  <c:v>327</c:v>
                </c:pt>
                <c:pt idx="11">
                  <c:v>228</c:v>
                </c:pt>
                <c:pt idx="12">
                  <c:v>258</c:v>
                </c:pt>
                <c:pt idx="13">
                  <c:v>196</c:v>
                </c:pt>
                <c:pt idx="14">
                  <c:v>216</c:v>
                </c:pt>
                <c:pt idx="15">
                  <c:v>211</c:v>
                </c:pt>
                <c:pt idx="16">
                  <c:v>266</c:v>
                </c:pt>
                <c:pt idx="17">
                  <c:v>99</c:v>
                </c:pt>
                <c:pt idx="18">
                  <c:v>158</c:v>
                </c:pt>
                <c:pt idx="19">
                  <c:v>129</c:v>
                </c:pt>
                <c:pt idx="20">
                  <c:v>158</c:v>
                </c:pt>
                <c:pt idx="21">
                  <c:v>198</c:v>
                </c:pt>
                <c:pt idx="22">
                  <c:v>321</c:v>
                </c:pt>
                <c:pt idx="23">
                  <c:v>298</c:v>
                </c:pt>
                <c:pt idx="24">
                  <c:v>327</c:v>
                </c:pt>
                <c:pt idx="25">
                  <c:v>228</c:v>
                </c:pt>
                <c:pt idx="26">
                  <c:v>258</c:v>
                </c:pt>
                <c:pt idx="27">
                  <c:v>196</c:v>
                </c:pt>
                <c:pt idx="28">
                  <c:v>315</c:v>
                </c:pt>
                <c:pt idx="29">
                  <c:v>298</c:v>
                </c:pt>
                <c:pt idx="30">
                  <c:v>426</c:v>
                </c:pt>
                <c:pt idx="31">
                  <c:v>149</c:v>
                </c:pt>
                <c:pt idx="37">
                  <c:v>129</c:v>
                </c:pt>
                <c:pt idx="38">
                  <c:v>149</c:v>
                </c:pt>
                <c:pt idx="39">
                  <c:v>129</c:v>
                </c:pt>
                <c:pt idx="40">
                  <c:v>79</c:v>
                </c:pt>
                <c:pt idx="41">
                  <c:v>198</c:v>
                </c:pt>
                <c:pt idx="42">
                  <c:v>198</c:v>
                </c:pt>
                <c:pt idx="44">
                  <c:v>178</c:v>
                </c:pt>
              </c:numCache>
            </c:numRef>
          </c:val>
          <c:extLst>
            <c:ext xmlns:c16="http://schemas.microsoft.com/office/drawing/2014/chart" uri="{C3380CC4-5D6E-409C-BE32-E72D297353CC}">
              <c16:uniqueId val="{00000001-92DC-45BB-8A27-2394C2672EE2}"/>
            </c:ext>
          </c:extLst>
        </c:ser>
        <c:ser>
          <c:idx val="2"/>
          <c:order val="2"/>
          <c:tx>
            <c:strRef>
              <c:f>'Order Data  '!$Q$324:$Q$325</c:f>
              <c:strCache>
                <c:ptCount val="1"/>
                <c:pt idx="0">
                  <c:v>Lunch</c:v>
                </c:pt>
              </c:strCache>
            </c:strRef>
          </c:tx>
          <c:spPr>
            <a:solidFill>
              <a:schemeClr val="accent3"/>
            </a:solidFill>
            <a:ln>
              <a:noFill/>
            </a:ln>
            <a:effectLst/>
          </c:spPr>
          <c:invertIfNegative val="0"/>
          <c:cat>
            <c:strRef>
              <c:f>'Order Data  '!$N$326:$N$374</c:f>
              <c:strCache>
                <c:ptCount val="48"/>
                <c:pt idx="0">
                  <c:v>01-04-2025</c:v>
                </c:pt>
                <c:pt idx="1">
                  <c:v>02-04-2025</c:v>
                </c:pt>
                <c:pt idx="2">
                  <c:v>03-04-2025</c:v>
                </c:pt>
                <c:pt idx="3">
                  <c:v>04-04-2025</c:v>
                </c:pt>
                <c:pt idx="4">
                  <c:v>05-04-2025</c:v>
                </c:pt>
                <c:pt idx="5">
                  <c:v>06-04-2025</c:v>
                </c:pt>
                <c:pt idx="6">
                  <c:v>07-04-2025</c:v>
                </c:pt>
                <c:pt idx="7">
                  <c:v>08-04-2025</c:v>
                </c:pt>
                <c:pt idx="8">
                  <c:v>09-04-2025</c:v>
                </c:pt>
                <c:pt idx="9">
                  <c:v>10-04-2025</c:v>
                </c:pt>
                <c:pt idx="10">
                  <c:v>11-04-2025</c:v>
                </c:pt>
                <c:pt idx="11">
                  <c:v>12-04-2025</c:v>
                </c:pt>
                <c:pt idx="12">
                  <c:v>13-04-2025</c:v>
                </c:pt>
                <c:pt idx="13">
                  <c:v>14-04-2025</c:v>
                </c:pt>
                <c:pt idx="14">
                  <c:v>15-04-2025</c:v>
                </c:pt>
                <c:pt idx="15">
                  <c:v>16-04-2025</c:v>
                </c:pt>
                <c:pt idx="16">
                  <c:v>17-04-2025</c:v>
                </c:pt>
                <c:pt idx="17">
                  <c:v>18-04-2025</c:v>
                </c:pt>
                <c:pt idx="18">
                  <c:v>19-04-2025</c:v>
                </c:pt>
                <c:pt idx="19">
                  <c:v>20-04-2025</c:v>
                </c:pt>
                <c:pt idx="20">
                  <c:v>21-04-2025</c:v>
                </c:pt>
                <c:pt idx="21">
                  <c:v>22-04-2025</c:v>
                </c:pt>
                <c:pt idx="22">
                  <c:v>23-04-2025</c:v>
                </c:pt>
                <c:pt idx="23">
                  <c:v>24-04-2025</c:v>
                </c:pt>
                <c:pt idx="24">
                  <c:v>25-04-2025</c:v>
                </c:pt>
                <c:pt idx="25">
                  <c:v>26-04-2025</c:v>
                </c:pt>
                <c:pt idx="26">
                  <c:v>27-04-2025</c:v>
                </c:pt>
                <c:pt idx="27">
                  <c:v>28-04-2025</c:v>
                </c:pt>
                <c:pt idx="28">
                  <c:v>29-04-2025</c:v>
                </c:pt>
                <c:pt idx="29">
                  <c:v>01-05-2025</c:v>
                </c:pt>
                <c:pt idx="30">
                  <c:v>02-05-2025</c:v>
                </c:pt>
                <c:pt idx="31">
                  <c:v>03-05-2025</c:v>
                </c:pt>
                <c:pt idx="32">
                  <c:v>04-05-2025</c:v>
                </c:pt>
                <c:pt idx="33">
                  <c:v>05-05-2025</c:v>
                </c:pt>
                <c:pt idx="34">
                  <c:v>06-05-2025</c:v>
                </c:pt>
                <c:pt idx="35">
                  <c:v>07-05-2025</c:v>
                </c:pt>
                <c:pt idx="36">
                  <c:v>08-05-2025</c:v>
                </c:pt>
                <c:pt idx="37">
                  <c:v>09-05-2025</c:v>
                </c:pt>
                <c:pt idx="38">
                  <c:v>10-05-2025</c:v>
                </c:pt>
                <c:pt idx="39">
                  <c:v>11-05-2025</c:v>
                </c:pt>
                <c:pt idx="40">
                  <c:v>12-05-2025</c:v>
                </c:pt>
                <c:pt idx="41">
                  <c:v>13-05-2025</c:v>
                </c:pt>
                <c:pt idx="42">
                  <c:v>14-05-2025</c:v>
                </c:pt>
                <c:pt idx="43">
                  <c:v>15-05-2025</c:v>
                </c:pt>
                <c:pt idx="44">
                  <c:v>16-05-2025</c:v>
                </c:pt>
                <c:pt idx="45">
                  <c:v>17-05-2025</c:v>
                </c:pt>
                <c:pt idx="46">
                  <c:v>18-05-2025</c:v>
                </c:pt>
                <c:pt idx="47">
                  <c:v>26-05-2025</c:v>
                </c:pt>
              </c:strCache>
            </c:strRef>
          </c:cat>
          <c:val>
            <c:numRef>
              <c:f>'Order Data  '!$Q$326:$Q$374</c:f>
              <c:numCache>
                <c:formatCode>General</c:formatCode>
                <c:ptCount val="48"/>
                <c:pt idx="0">
                  <c:v>914</c:v>
                </c:pt>
                <c:pt idx="1">
                  <c:v>946</c:v>
                </c:pt>
                <c:pt idx="2">
                  <c:v>2275</c:v>
                </c:pt>
                <c:pt idx="3">
                  <c:v>3168</c:v>
                </c:pt>
                <c:pt idx="4">
                  <c:v>3431</c:v>
                </c:pt>
                <c:pt idx="5">
                  <c:v>5163</c:v>
                </c:pt>
                <c:pt idx="6">
                  <c:v>3693</c:v>
                </c:pt>
                <c:pt idx="7">
                  <c:v>4614</c:v>
                </c:pt>
                <c:pt idx="8">
                  <c:v>3339</c:v>
                </c:pt>
                <c:pt idx="9">
                  <c:v>2787</c:v>
                </c:pt>
                <c:pt idx="10">
                  <c:v>486</c:v>
                </c:pt>
                <c:pt idx="11">
                  <c:v>1678</c:v>
                </c:pt>
                <c:pt idx="12">
                  <c:v>2823</c:v>
                </c:pt>
                <c:pt idx="13">
                  <c:v>731</c:v>
                </c:pt>
                <c:pt idx="14">
                  <c:v>1297</c:v>
                </c:pt>
                <c:pt idx="15">
                  <c:v>2268</c:v>
                </c:pt>
                <c:pt idx="16">
                  <c:v>1714</c:v>
                </c:pt>
                <c:pt idx="17">
                  <c:v>3082</c:v>
                </c:pt>
                <c:pt idx="18">
                  <c:v>3121</c:v>
                </c:pt>
                <c:pt idx="19">
                  <c:v>3568</c:v>
                </c:pt>
                <c:pt idx="20">
                  <c:v>246</c:v>
                </c:pt>
                <c:pt idx="21">
                  <c:v>1133</c:v>
                </c:pt>
                <c:pt idx="22">
                  <c:v>1806</c:v>
                </c:pt>
                <c:pt idx="23">
                  <c:v>2027</c:v>
                </c:pt>
                <c:pt idx="24">
                  <c:v>448</c:v>
                </c:pt>
                <c:pt idx="25">
                  <c:v>2736</c:v>
                </c:pt>
                <c:pt idx="26">
                  <c:v>2666</c:v>
                </c:pt>
                <c:pt idx="27">
                  <c:v>2395</c:v>
                </c:pt>
                <c:pt idx="28">
                  <c:v>1976</c:v>
                </c:pt>
                <c:pt idx="29">
                  <c:v>3411</c:v>
                </c:pt>
                <c:pt idx="30">
                  <c:v>2523</c:v>
                </c:pt>
                <c:pt idx="31">
                  <c:v>129</c:v>
                </c:pt>
                <c:pt idx="32">
                  <c:v>280</c:v>
                </c:pt>
                <c:pt idx="33">
                  <c:v>289</c:v>
                </c:pt>
                <c:pt idx="34">
                  <c:v>1984</c:v>
                </c:pt>
                <c:pt idx="35">
                  <c:v>2179</c:v>
                </c:pt>
                <c:pt idx="36">
                  <c:v>2409</c:v>
                </c:pt>
                <c:pt idx="37">
                  <c:v>3697</c:v>
                </c:pt>
                <c:pt idx="38">
                  <c:v>2408</c:v>
                </c:pt>
                <c:pt idx="39">
                  <c:v>3182</c:v>
                </c:pt>
                <c:pt idx="40">
                  <c:v>1987</c:v>
                </c:pt>
                <c:pt idx="41">
                  <c:v>2406</c:v>
                </c:pt>
                <c:pt idx="42">
                  <c:v>3508</c:v>
                </c:pt>
                <c:pt idx="43">
                  <c:v>2334</c:v>
                </c:pt>
                <c:pt idx="44">
                  <c:v>780</c:v>
                </c:pt>
                <c:pt idx="45">
                  <c:v>405</c:v>
                </c:pt>
                <c:pt idx="46">
                  <c:v>380</c:v>
                </c:pt>
                <c:pt idx="47">
                  <c:v>129</c:v>
                </c:pt>
              </c:numCache>
            </c:numRef>
          </c:val>
          <c:extLst>
            <c:ext xmlns:c16="http://schemas.microsoft.com/office/drawing/2014/chart" uri="{C3380CC4-5D6E-409C-BE32-E72D297353CC}">
              <c16:uniqueId val="{00000002-92DC-45BB-8A27-2394C2672EE2}"/>
            </c:ext>
          </c:extLst>
        </c:ser>
        <c:dLbls>
          <c:showLegendKey val="0"/>
          <c:showVal val="0"/>
          <c:showCatName val="0"/>
          <c:showSerName val="0"/>
          <c:showPercent val="0"/>
          <c:showBubbleSize val="0"/>
        </c:dLbls>
        <c:gapWidth val="150"/>
        <c:overlap val="100"/>
        <c:axId val="852696504"/>
        <c:axId val="852697584"/>
      </c:barChart>
      <c:catAx>
        <c:axId val="852696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 of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97584"/>
        <c:crosses val="autoZero"/>
        <c:auto val="1"/>
        <c:lblAlgn val="ctr"/>
        <c:lblOffset val="100"/>
        <c:tickLblSkip val="3"/>
        <c:noMultiLvlLbl val="0"/>
      </c:catAx>
      <c:valAx>
        <c:axId val="852697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Cost of 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96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Regular vs Subscription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REGULAR</c:v>
              </c:pt>
              <c:pt idx="1">
                <c:v>SUBSCRIPTION</c:v>
              </c:pt>
            </c:strLit>
          </c:cat>
          <c:val>
            <c:numRef>
              <c:f>'Order Data  '!$O$240:$O$241</c:f>
              <c:numCache>
                <c:formatCode>General</c:formatCode>
                <c:ptCount val="2"/>
                <c:pt idx="0">
                  <c:v>269</c:v>
                </c:pt>
                <c:pt idx="1">
                  <c:v>298</c:v>
                </c:pt>
              </c:numCache>
            </c:numRef>
          </c:val>
          <c:extLst>
            <c:ext xmlns:c16="http://schemas.microsoft.com/office/drawing/2014/chart" uri="{C3380CC4-5D6E-409C-BE32-E72D297353CC}">
              <c16:uniqueId val="{00000000-0F80-41B2-BE07-AE6BB02B003E}"/>
            </c:ext>
          </c:extLst>
        </c:ser>
        <c:dLbls>
          <c:dLblPos val="outEnd"/>
          <c:showLegendKey val="0"/>
          <c:showVal val="1"/>
          <c:showCatName val="0"/>
          <c:showSerName val="0"/>
          <c:showPercent val="0"/>
          <c:showBubbleSize val="0"/>
        </c:dLbls>
        <c:gapWidth val="219"/>
        <c:overlap val="-27"/>
        <c:axId val="809374344"/>
        <c:axId val="809377584"/>
      </c:barChart>
      <c:catAx>
        <c:axId val="809374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Type of 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377584"/>
        <c:crosses val="autoZero"/>
        <c:auto val="1"/>
        <c:lblAlgn val="ctr"/>
        <c:lblOffset val="100"/>
        <c:noMultiLvlLbl val="0"/>
      </c:catAx>
      <c:valAx>
        <c:axId val="80937758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374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MENU SPREADSHEET.xlsx]Order Data  !PivotTable13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Data  '!$O$253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'Order Data  '!$N$254:$N$262</c:f>
              <c:strCache>
                <c:ptCount val="8"/>
                <c:pt idx="0">
                  <c:v>Monday</c:v>
                </c:pt>
                <c:pt idx="1">
                  <c:v>Tuesday</c:v>
                </c:pt>
                <c:pt idx="2">
                  <c:v>Wednesday</c:v>
                </c:pt>
                <c:pt idx="3">
                  <c:v>Thursday</c:v>
                </c:pt>
                <c:pt idx="4">
                  <c:v>Friday</c:v>
                </c:pt>
                <c:pt idx="5">
                  <c:v>Saturday</c:v>
                </c:pt>
                <c:pt idx="6">
                  <c:v>Sunday</c:v>
                </c:pt>
                <c:pt idx="7">
                  <c:v>(blank)</c:v>
                </c:pt>
              </c:strCache>
            </c:strRef>
          </c:cat>
          <c:val>
            <c:numRef>
              <c:f>'Order Data  '!$O$254:$O$262</c:f>
              <c:numCache>
                <c:formatCode>General</c:formatCode>
                <c:ptCount val="8"/>
                <c:pt idx="0">
                  <c:v>10824</c:v>
                </c:pt>
                <c:pt idx="1">
                  <c:v>17198</c:v>
                </c:pt>
                <c:pt idx="2">
                  <c:v>16681</c:v>
                </c:pt>
                <c:pt idx="3">
                  <c:v>19746</c:v>
                </c:pt>
                <c:pt idx="4">
                  <c:v>17525</c:v>
                </c:pt>
                <c:pt idx="5">
                  <c:v>15955</c:v>
                </c:pt>
                <c:pt idx="6">
                  <c:v>20057</c:v>
                </c:pt>
              </c:numCache>
            </c:numRef>
          </c:val>
          <c:smooth val="0"/>
          <c:extLst>
            <c:ext xmlns:c16="http://schemas.microsoft.com/office/drawing/2014/chart" uri="{C3380CC4-5D6E-409C-BE32-E72D297353CC}">
              <c16:uniqueId val="{00000000-BC22-46EF-8E20-C91E1693145F}"/>
            </c:ext>
          </c:extLst>
        </c:ser>
        <c:dLbls>
          <c:showLegendKey val="0"/>
          <c:showVal val="0"/>
          <c:showCatName val="0"/>
          <c:showSerName val="0"/>
          <c:showPercent val="0"/>
          <c:showBubbleSize val="0"/>
        </c:dLbls>
        <c:marker val="1"/>
        <c:smooth val="0"/>
        <c:axId val="400644072"/>
        <c:axId val="1060972352"/>
      </c:lineChart>
      <c:catAx>
        <c:axId val="400644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972352"/>
        <c:crosses val="autoZero"/>
        <c:auto val="1"/>
        <c:lblAlgn val="ctr"/>
        <c:lblOffset val="100"/>
        <c:noMultiLvlLbl val="0"/>
      </c:catAx>
      <c:valAx>
        <c:axId val="106097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44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MENU SPREADSHEET.xlsx]Order Data  !PivotTable14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of the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'Order Data  '!$O$267</c:f>
              <c:strCache>
                <c:ptCount val="1"/>
                <c:pt idx="0">
                  <c:v>Total</c:v>
                </c:pt>
              </c:strCache>
            </c:strRef>
          </c:tx>
          <c:spPr>
            <a:solidFill>
              <a:schemeClr val="accent1"/>
            </a:solidFill>
            <a:ln>
              <a:noFill/>
            </a:ln>
            <a:effectLst/>
          </c:spPr>
          <c:cat>
            <c:strRef>
              <c:f>'Order Data  '!$N$268:$N$317</c:f>
              <c:strCache>
                <c:ptCount val="49"/>
                <c:pt idx="0">
                  <c:v>01-04-2025</c:v>
                </c:pt>
                <c:pt idx="1">
                  <c:v>02-04-2025</c:v>
                </c:pt>
                <c:pt idx="2">
                  <c:v>03-04-2025</c:v>
                </c:pt>
                <c:pt idx="3">
                  <c:v>04-04-2025</c:v>
                </c:pt>
                <c:pt idx="4">
                  <c:v>05-04-2025</c:v>
                </c:pt>
                <c:pt idx="5">
                  <c:v>06-04-2025</c:v>
                </c:pt>
                <c:pt idx="6">
                  <c:v>07-04-2025</c:v>
                </c:pt>
                <c:pt idx="7">
                  <c:v>08-04-2025</c:v>
                </c:pt>
                <c:pt idx="8">
                  <c:v>09-04-2025</c:v>
                </c:pt>
                <c:pt idx="9">
                  <c:v>10-04-2025</c:v>
                </c:pt>
                <c:pt idx="10">
                  <c:v>11-04-2025</c:v>
                </c:pt>
                <c:pt idx="11">
                  <c:v>12-04-2025</c:v>
                </c:pt>
                <c:pt idx="12">
                  <c:v>13-04-2025</c:v>
                </c:pt>
                <c:pt idx="13">
                  <c:v>14-04-2025</c:v>
                </c:pt>
                <c:pt idx="14">
                  <c:v>15-04-2025</c:v>
                </c:pt>
                <c:pt idx="15">
                  <c:v>16-04-2025</c:v>
                </c:pt>
                <c:pt idx="16">
                  <c:v>17-04-2025</c:v>
                </c:pt>
                <c:pt idx="17">
                  <c:v>18-04-2025</c:v>
                </c:pt>
                <c:pt idx="18">
                  <c:v>19-04-2025</c:v>
                </c:pt>
                <c:pt idx="19">
                  <c:v>20-04-2025</c:v>
                </c:pt>
                <c:pt idx="20">
                  <c:v>21-04-2025</c:v>
                </c:pt>
                <c:pt idx="21">
                  <c:v>22-04-2025</c:v>
                </c:pt>
                <c:pt idx="22">
                  <c:v>23-04-2025</c:v>
                </c:pt>
                <c:pt idx="23">
                  <c:v>24-04-2025</c:v>
                </c:pt>
                <c:pt idx="24">
                  <c:v>25-04-2025</c:v>
                </c:pt>
                <c:pt idx="25">
                  <c:v>26-04-2025</c:v>
                </c:pt>
                <c:pt idx="26">
                  <c:v>27-04-2025</c:v>
                </c:pt>
                <c:pt idx="27">
                  <c:v>28-04-2025</c:v>
                </c:pt>
                <c:pt idx="28">
                  <c:v>29-04-2025</c:v>
                </c:pt>
                <c:pt idx="29">
                  <c:v>01-05-2025</c:v>
                </c:pt>
                <c:pt idx="30">
                  <c:v>02-05-2025</c:v>
                </c:pt>
                <c:pt idx="31">
                  <c:v>03-05-2025</c:v>
                </c:pt>
                <c:pt idx="32">
                  <c:v>04-05-2025</c:v>
                </c:pt>
                <c:pt idx="33">
                  <c:v>05-05-2025</c:v>
                </c:pt>
                <c:pt idx="34">
                  <c:v>06-05-2025</c:v>
                </c:pt>
                <c:pt idx="35">
                  <c:v>07-05-2025</c:v>
                </c:pt>
                <c:pt idx="36">
                  <c:v>08-05-2025</c:v>
                </c:pt>
                <c:pt idx="37">
                  <c:v>09-05-2025</c:v>
                </c:pt>
                <c:pt idx="38">
                  <c:v>10-05-2025</c:v>
                </c:pt>
                <c:pt idx="39">
                  <c:v>11-05-2025</c:v>
                </c:pt>
                <c:pt idx="40">
                  <c:v>12-05-2025</c:v>
                </c:pt>
                <c:pt idx="41">
                  <c:v>13-05-2025</c:v>
                </c:pt>
                <c:pt idx="42">
                  <c:v>14-05-2025</c:v>
                </c:pt>
                <c:pt idx="43">
                  <c:v>15-05-2025</c:v>
                </c:pt>
                <c:pt idx="44">
                  <c:v>16-05-2025</c:v>
                </c:pt>
                <c:pt idx="45">
                  <c:v>17-05-2025</c:v>
                </c:pt>
                <c:pt idx="46">
                  <c:v>18-05-2025</c:v>
                </c:pt>
                <c:pt idx="47">
                  <c:v>26-05-2025</c:v>
                </c:pt>
                <c:pt idx="48">
                  <c:v>(blank)</c:v>
                </c:pt>
              </c:strCache>
            </c:strRef>
          </c:cat>
          <c:val>
            <c:numRef>
              <c:f>'Order Data  '!$O$268:$O$317</c:f>
              <c:numCache>
                <c:formatCode>General</c:formatCode>
                <c:ptCount val="49"/>
                <c:pt idx="0">
                  <c:v>1556</c:v>
                </c:pt>
                <c:pt idx="1">
                  <c:v>1660</c:v>
                </c:pt>
                <c:pt idx="2">
                  <c:v>3044</c:v>
                </c:pt>
                <c:pt idx="3">
                  <c:v>3891</c:v>
                </c:pt>
                <c:pt idx="4">
                  <c:v>3817</c:v>
                </c:pt>
                <c:pt idx="5">
                  <c:v>5736</c:v>
                </c:pt>
                <c:pt idx="6">
                  <c:v>3772</c:v>
                </c:pt>
                <c:pt idx="7">
                  <c:v>5028</c:v>
                </c:pt>
                <c:pt idx="8">
                  <c:v>3936</c:v>
                </c:pt>
                <c:pt idx="9">
                  <c:v>3179</c:v>
                </c:pt>
                <c:pt idx="10">
                  <c:v>1110</c:v>
                </c:pt>
                <c:pt idx="11">
                  <c:v>2143</c:v>
                </c:pt>
                <c:pt idx="12">
                  <c:v>3396</c:v>
                </c:pt>
                <c:pt idx="13">
                  <c:v>1184</c:v>
                </c:pt>
                <c:pt idx="14">
                  <c:v>1810</c:v>
                </c:pt>
                <c:pt idx="15">
                  <c:v>2786</c:v>
                </c:pt>
                <c:pt idx="16">
                  <c:v>2255</c:v>
                </c:pt>
                <c:pt idx="17">
                  <c:v>3280</c:v>
                </c:pt>
                <c:pt idx="18">
                  <c:v>3595</c:v>
                </c:pt>
                <c:pt idx="19">
                  <c:v>3814</c:v>
                </c:pt>
                <c:pt idx="20">
                  <c:v>503</c:v>
                </c:pt>
                <c:pt idx="21">
                  <c:v>1529</c:v>
                </c:pt>
                <c:pt idx="22">
                  <c:v>2256</c:v>
                </c:pt>
                <c:pt idx="23">
                  <c:v>2442</c:v>
                </c:pt>
                <c:pt idx="24">
                  <c:v>874</c:v>
                </c:pt>
                <c:pt idx="25">
                  <c:v>3043</c:v>
                </c:pt>
                <c:pt idx="26">
                  <c:v>2924</c:v>
                </c:pt>
                <c:pt idx="27">
                  <c:v>2690</c:v>
                </c:pt>
                <c:pt idx="28">
                  <c:v>2390</c:v>
                </c:pt>
                <c:pt idx="29">
                  <c:v>3826</c:v>
                </c:pt>
                <c:pt idx="30">
                  <c:v>3048</c:v>
                </c:pt>
                <c:pt idx="31">
                  <c:v>278</c:v>
                </c:pt>
                <c:pt idx="32">
                  <c:v>280</c:v>
                </c:pt>
                <c:pt idx="33">
                  <c:v>289</c:v>
                </c:pt>
                <c:pt idx="34">
                  <c:v>1984</c:v>
                </c:pt>
                <c:pt idx="35">
                  <c:v>2179</c:v>
                </c:pt>
                <c:pt idx="36">
                  <c:v>2409</c:v>
                </c:pt>
                <c:pt idx="37">
                  <c:v>3938</c:v>
                </c:pt>
                <c:pt idx="38">
                  <c:v>2674</c:v>
                </c:pt>
                <c:pt idx="39">
                  <c:v>3527</c:v>
                </c:pt>
                <c:pt idx="40">
                  <c:v>2257</c:v>
                </c:pt>
                <c:pt idx="41">
                  <c:v>2901</c:v>
                </c:pt>
                <c:pt idx="42">
                  <c:v>3864</c:v>
                </c:pt>
                <c:pt idx="43">
                  <c:v>2591</c:v>
                </c:pt>
                <c:pt idx="44">
                  <c:v>1384</c:v>
                </c:pt>
                <c:pt idx="45">
                  <c:v>405</c:v>
                </c:pt>
                <c:pt idx="46">
                  <c:v>380</c:v>
                </c:pt>
                <c:pt idx="47">
                  <c:v>129</c:v>
                </c:pt>
              </c:numCache>
            </c:numRef>
          </c:val>
          <c:extLst>
            <c:ext xmlns:c16="http://schemas.microsoft.com/office/drawing/2014/chart" uri="{C3380CC4-5D6E-409C-BE32-E72D297353CC}">
              <c16:uniqueId val="{00000000-6D54-4F86-B1A9-911385A6FA8A}"/>
            </c:ext>
          </c:extLst>
        </c:ser>
        <c:dLbls>
          <c:showLegendKey val="0"/>
          <c:showVal val="0"/>
          <c:showCatName val="0"/>
          <c:showSerName val="0"/>
          <c:showPercent val="0"/>
          <c:showBubbleSize val="0"/>
        </c:dLbls>
        <c:axId val="443881144"/>
        <c:axId val="443878624"/>
      </c:areaChart>
      <c:catAx>
        <c:axId val="443881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78624"/>
        <c:crosses val="autoZero"/>
        <c:auto val="1"/>
        <c:lblAlgn val="ctr"/>
        <c:lblOffset val="100"/>
        <c:tickLblSkip val="3"/>
        <c:noMultiLvlLbl val="0"/>
      </c:catAx>
      <c:valAx>
        <c:axId val="443878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81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15</xdr:col>
      <xdr:colOff>171450</xdr:colOff>
      <xdr:row>16</xdr:row>
      <xdr:rowOff>0</xdr:rowOff>
    </xdr:from>
    <xdr:to>
      <xdr:col>25</xdr:col>
      <xdr:colOff>381000</xdr:colOff>
      <xdr:row>30</xdr:row>
      <xdr:rowOff>85725</xdr:rowOff>
    </xdr:to>
    <xdr:graphicFrame macro="">
      <xdr:nvGraphicFramePr>
        <xdr:cNvPr id="19" name="Chart 18">
          <a:extLst>
            <a:ext uri="{FF2B5EF4-FFF2-40B4-BE49-F238E27FC236}">
              <a16:creationId xmlns:a16="http://schemas.microsoft.com/office/drawing/2014/main" id="{290468CA-E818-4EEB-8F15-2F265CA9A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204107</xdr:colOff>
      <xdr:row>66</xdr:row>
      <xdr:rowOff>68035</xdr:rowOff>
    </xdr:from>
    <xdr:to>
      <xdr:col>20</xdr:col>
      <xdr:colOff>1021897</xdr:colOff>
      <xdr:row>86</xdr:row>
      <xdr:rowOff>187777</xdr:rowOff>
    </xdr:to>
    <xdr:graphicFrame macro="">
      <xdr:nvGraphicFramePr>
        <xdr:cNvPr id="20" name="Chart 19">
          <a:extLst>
            <a:ext uri="{FF2B5EF4-FFF2-40B4-BE49-F238E27FC236}">
              <a16:creationId xmlns:a16="http://schemas.microsoft.com/office/drawing/2014/main" id="{4F6D2505-903B-4628-B690-A1BD16329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258535</xdr:colOff>
      <xdr:row>90</xdr:row>
      <xdr:rowOff>40821</xdr:rowOff>
    </xdr:from>
    <xdr:to>
      <xdr:col>26</xdr:col>
      <xdr:colOff>477050</xdr:colOff>
      <xdr:row>102</xdr:row>
      <xdr:rowOff>7203</xdr:rowOff>
    </xdr:to>
    <xdr:graphicFrame macro="">
      <xdr:nvGraphicFramePr>
        <xdr:cNvPr id="21" name="Chart 20">
          <a:extLst>
            <a:ext uri="{FF2B5EF4-FFF2-40B4-BE49-F238E27FC236}">
              <a16:creationId xmlns:a16="http://schemas.microsoft.com/office/drawing/2014/main" id="{B985C203-0D1A-4C8F-AB94-9554A15A5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291353</xdr:colOff>
      <xdr:row>134</xdr:row>
      <xdr:rowOff>123265</xdr:rowOff>
    </xdr:from>
    <xdr:to>
      <xdr:col>24</xdr:col>
      <xdr:colOff>437028</xdr:colOff>
      <xdr:row>163</xdr:row>
      <xdr:rowOff>144558</xdr:rowOff>
    </xdr:to>
    <xdr:graphicFrame macro="">
      <xdr:nvGraphicFramePr>
        <xdr:cNvPr id="24" name="Chart 23">
          <a:extLst>
            <a:ext uri="{FF2B5EF4-FFF2-40B4-BE49-F238E27FC236}">
              <a16:creationId xmlns:a16="http://schemas.microsoft.com/office/drawing/2014/main" id="{63CB4C2F-7845-409F-8743-171332C37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123825</xdr:colOff>
      <xdr:row>166</xdr:row>
      <xdr:rowOff>171450</xdr:rowOff>
    </xdr:from>
    <xdr:to>
      <xdr:col>19</xdr:col>
      <xdr:colOff>495300</xdr:colOff>
      <xdr:row>179</xdr:row>
      <xdr:rowOff>47625</xdr:rowOff>
    </xdr:to>
    <xdr:graphicFrame macro="">
      <xdr:nvGraphicFramePr>
        <xdr:cNvPr id="25" name="Chart 24">
          <a:extLst>
            <a:ext uri="{FF2B5EF4-FFF2-40B4-BE49-F238E27FC236}">
              <a16:creationId xmlns:a16="http://schemas.microsoft.com/office/drawing/2014/main" id="{11E2E1BA-B8B2-44E1-B9F2-1CA039DD4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335617</xdr:colOff>
      <xdr:row>189</xdr:row>
      <xdr:rowOff>162485</xdr:rowOff>
    </xdr:from>
    <xdr:to>
      <xdr:col>22</xdr:col>
      <xdr:colOff>487217</xdr:colOff>
      <xdr:row>216</xdr:row>
      <xdr:rowOff>15688</xdr:rowOff>
    </xdr:to>
    <xdr:graphicFrame macro="">
      <xdr:nvGraphicFramePr>
        <xdr:cNvPr id="26" name="Chart 25">
          <a:extLst>
            <a:ext uri="{FF2B5EF4-FFF2-40B4-BE49-F238E27FC236}">
              <a16:creationId xmlns:a16="http://schemas.microsoft.com/office/drawing/2014/main" id="{C85682F5-1303-4518-9365-4BA1F1B46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123265</xdr:colOff>
      <xdr:row>104</xdr:row>
      <xdr:rowOff>44823</xdr:rowOff>
    </xdr:from>
    <xdr:to>
      <xdr:col>33</xdr:col>
      <xdr:colOff>305040</xdr:colOff>
      <xdr:row>131</xdr:row>
      <xdr:rowOff>126467</xdr:rowOff>
    </xdr:to>
    <xdr:graphicFrame macro="">
      <xdr:nvGraphicFramePr>
        <xdr:cNvPr id="27" name="Chart 26">
          <a:extLst>
            <a:ext uri="{FF2B5EF4-FFF2-40B4-BE49-F238E27FC236}">
              <a16:creationId xmlns:a16="http://schemas.microsoft.com/office/drawing/2014/main" id="{E108FCEC-4D45-4E96-B8F3-A1754AC8A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257736</xdr:colOff>
      <xdr:row>235</xdr:row>
      <xdr:rowOff>100853</xdr:rowOff>
    </xdr:from>
    <xdr:to>
      <xdr:col>18</xdr:col>
      <xdr:colOff>1171816</xdr:colOff>
      <xdr:row>247</xdr:row>
      <xdr:rowOff>6403</xdr:rowOff>
    </xdr:to>
    <xdr:graphicFrame macro="">
      <xdr:nvGraphicFramePr>
        <xdr:cNvPr id="28" name="Chart 27">
          <a:extLst>
            <a:ext uri="{FF2B5EF4-FFF2-40B4-BE49-F238E27FC236}">
              <a16:creationId xmlns:a16="http://schemas.microsoft.com/office/drawing/2014/main" id="{9FFDB023-B863-46C2-B341-3052DBFA1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413657</xdr:colOff>
      <xdr:row>250</xdr:row>
      <xdr:rowOff>36499</xdr:rowOff>
    </xdr:from>
    <xdr:to>
      <xdr:col>22</xdr:col>
      <xdr:colOff>440551</xdr:colOff>
      <xdr:row>261</xdr:row>
      <xdr:rowOff>121104</xdr:rowOff>
    </xdr:to>
    <xdr:graphicFrame macro="">
      <xdr:nvGraphicFramePr>
        <xdr:cNvPr id="29" name="Chart 28">
          <a:extLst>
            <a:ext uri="{FF2B5EF4-FFF2-40B4-BE49-F238E27FC236}">
              <a16:creationId xmlns:a16="http://schemas.microsoft.com/office/drawing/2014/main" id="{12064C19-7601-4686-8DD2-CDE45582B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449034</xdr:colOff>
      <xdr:row>266</xdr:row>
      <xdr:rowOff>13606</xdr:rowOff>
    </xdr:from>
    <xdr:to>
      <xdr:col>21</xdr:col>
      <xdr:colOff>952500</xdr:colOff>
      <xdr:row>294</xdr:row>
      <xdr:rowOff>136071</xdr:rowOff>
    </xdr:to>
    <xdr:graphicFrame macro="">
      <xdr:nvGraphicFramePr>
        <xdr:cNvPr id="31" name="Chart 30">
          <a:extLst>
            <a:ext uri="{FF2B5EF4-FFF2-40B4-BE49-F238E27FC236}">
              <a16:creationId xmlns:a16="http://schemas.microsoft.com/office/drawing/2014/main" id="{72DBEF8B-8B81-496F-AF5D-E176262D7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8.12928645833" createdVersion="8" refreshedVersion="8" minRefreshableVersion="3" recordCount="263" xr:uid="{77E865A6-FCC3-4B15-9192-4FCB65CA7356}">
  <cacheSource type="worksheet">
    <worksheetSource name="Table1"/>
  </cacheSource>
  <cacheFields count="8">
    <cacheField name="Dish ID " numFmtId="0">
      <sharedItems containsSemiMixedTypes="0" containsString="0" containsNumber="1" containsInteger="1" minValue="1" maxValue="114"/>
    </cacheField>
    <cacheField name="Dish Name" numFmtId="0">
      <sharedItems count="120">
        <s v="Vada Kulambu"/>
        <s v="Vatha Kulambu"/>
        <s v="Semiya Kichadi"/>
        <s v="Idly with sambhar and chutney"/>
        <s v="Veg Biryani"/>
        <s v="Potato Thokku"/>
        <s v="Egg fry"/>
        <s v="Gobi 65"/>
        <s v="Gobi 66"/>
        <s v="Coconut rice with potato thokku"/>
        <s v="White Rice"/>
        <s v="Curd Rice with Potato thokku"/>
        <s v="Paruppu thakkali kadayal"/>
        <s v="Sakkarai pongal"/>
        <s v="Vendakkai kara kozhambu"/>
        <s v="Lemon rice with potato thokku"/>
        <s v="Fish fry"/>
        <s v="Vendakkai Poriyal"/>
        <s v="Iral surakkai kolambu"/>
        <s v="Rasam"/>
        <s v="Vegetable kootu"/>
        <s v="Sambar"/>
        <s v="Vegetable poriyal"/>
        <s v="Meals"/>
        <s v="Rava Upma"/>
        <s v="Double Omelette"/>
        <s v="Ayala fish fry"/>
        <s v="Podi dosa"/>
        <s v="Kal dosa"/>
        <s v="Crab kurma"/>
        <s v="Meen kuzhambu"/>
        <s v="Pepper Prawn thokku"/>
        <s v="Rice with prawn thokku"/>
        <s v="Crab meals"/>
        <s v="Fish meals"/>
        <s v="Side dish combo"/>
        <s v="Egg kurma"/>
        <s v="Kali with karuvatu kuzhambu"/>
        <s v="Chicken thokku"/>
        <s v="Idly with meen kuzhambu"/>
        <s v="Idly with chicken curry"/>
        <s v="Kavalai fish fry"/>
        <s v="Pongal with sambhar and chutney"/>
        <s v="Appam with thengai paal"/>
        <s v="Onion dosa"/>
        <s v="Poori vegetable kurma"/>
        <s v="Egg dosa"/>
        <s v="Poori and potato masala"/>
        <s v="Chappathi potato masala"/>
        <s v="Chappathi with kurma"/>
        <s v="Rice with chicken kulambu"/>
        <s v="Dry fish meals"/>
        <s v="Kali with chicken kuzhambu"/>
        <s v="Kali with meen kuzhambu"/>
        <s v="Idly with verkadalai chutney"/>
        <s v="Appam with kurma "/>
        <s v="Onion podi dosa"/>
        <s v="Chicken 65"/>
        <s v="Chicken Biryani"/>
        <s v="Rice with chicken gravy"/>
        <s v="Non veg family combo 1"/>
        <s v="Non veg family combo 2"/>
        <s v="Non veg family combo 3"/>
        <s v="Non veg family combo 4"/>
        <s v="Watermelon juice"/>
        <s v="Nethili karuvaadu fry "/>
        <s v="Molaga bajji"/>
        <s v="Urulaikizhangu bajji"/>
        <s v="Vazhakkai bajji"/>
        <s v="Moor kuzhambu"/>
        <s v="Ghee podi idly"/>
        <s v="Podi idly"/>
        <s v="Lemon Juice"/>
        <s v="Semiya payasam"/>
        <s v="Prawn kurma"/>
        <s v="Chappathi with chicken gravy "/>
        <s v="Vepamoo rasam"/>
        <s v="Vazhakkai varuval"/>
        <s v="Mixed vegetable sambar"/>
        <s v="Paruppu Nei"/>
        <s v="Paruppu payasam"/>
        <s v="Seeraga samba mutton biryani"/>
        <s v="Rice with sambar and poriyal"/>
        <s v="Variety rice combo 2"/>
        <s v="Variety rice combo 1"/>
        <s v="Egg podimas"/>
        <s v="Keerai Kootu"/>
        <s v="Keerai paruppu kadayal"/>
        <s v="Chicken Family Combo"/>
        <s v="Mutton thokku"/>
        <s v="Veg biriyani-gobi manchurian-sweet"/>
        <s v="Kal Dosai with Chicken Curry"/>
        <s v="Rice with rasam and egg fry"/>
        <s v="Tamarind rice with egg fry"/>
        <s v="Rice with sambar and egg fry"/>
        <s v="Mushroom Biryani (Basmati Rice)"/>
        <s v="Deepawali spl kari virundhu"/>
        <s v="Ghee mini sambar idly"/>
        <s v="Poori with Chicken kuzhambu"/>
        <s v="Chapathi with egg thokku"/>
        <s v="Mushroom Biryani  (Seeraga samba rice)"/>
        <s v="Rice with sambar and chicken 65"/>
        <s v="Rice with sambar and chicken 66"/>
        <s v="Rava kesari"/>
        <s v="Prawn kadaai rice with egg omelette"/>
        <s v="Godhumai dosai with chutney"/>
        <s v="Organic karuppu kavuni kanji"/>
        <s v="Pepper Chicken"/>
        <s v="Prawn Chilli"/>
        <s v="Egg Chappathi with plain gravy"/>
        <s v="Chicken kuzhambu"/>
        <s v="Odachi vitta muttai kuzhambu"/>
        <s v="Rava idli with chutney"/>
        <s v="Kanchipuram idli with kaara chutney"/>
        <s v="Mutton kuzhambu (with bones)"/>
        <s v="Karuvau thokku"/>
        <s v="White veg pulav (Basmati rice)"/>
        <s v="Nethili karuadu thokku"/>
        <s v="Party Order sample"/>
        <s v="Pomegranate juice"/>
      </sharedItems>
    </cacheField>
    <cacheField name="Category  (Breakfast/Lunch/Dinner/Snack)" numFmtId="0">
      <sharedItems count="7">
        <s v="Lunch"/>
        <s v="Dinner"/>
        <s v="Breakfast"/>
        <s v="Snacks"/>
        <s v="Lunch " u="1"/>
        <s v="Snacks " u="1"/>
        <s v="Dinner " u="1"/>
      </sharedItems>
    </cacheField>
    <cacheField name="Classification (Veg/Non-veg/Beverage)" numFmtId="0">
      <sharedItems/>
    </cacheField>
    <cacheField name="Preparation Time (hr:min)" numFmtId="20">
      <sharedItems containsSemiMixedTypes="0" containsNonDate="0" containsDate="1" containsString="0" minDate="1899-12-30T00:30:00" maxDate="1899-12-30T03:00:00"/>
    </cacheField>
    <cacheField name="Selling Price (Rupees)" numFmtId="0">
      <sharedItems containsSemiMixedTypes="0" containsString="0" containsNumber="1" containsInteger="1" minValue="60" maxValue="699"/>
    </cacheField>
    <cacheField name="Ingredients (Per Serving)" numFmtId="0">
      <sharedItems containsNonDate="0" containsString="0" containsBlank="1"/>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9.915999999997" createdVersion="8" refreshedVersion="8" minRefreshableVersion="3" recordCount="880" xr:uid="{09DD41F6-DB05-47BB-963A-0FFF364CF8B8}">
  <cacheSource type="worksheet">
    <worksheetSource name="Table5"/>
  </cacheSource>
  <cacheFields count="11">
    <cacheField name="ORDER ID" numFmtId="0">
      <sharedItems containsBlank="1"/>
    </cacheField>
    <cacheField name="DATE" numFmtId="14">
      <sharedItems containsNonDate="0" containsDate="1" containsString="0" containsBlank="1" minDate="2025-04-01T00:00:00" maxDate="2025-05-27T00:00:00" count="49">
        <d v="2025-04-01T00:00:00"/>
        <m/>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26T00:00:00"/>
      </sharedItems>
    </cacheField>
    <cacheField name="DAY" numFmtId="0">
      <sharedItems containsBlank="1"/>
    </cacheField>
    <cacheField name="CATEGORY(BREAKFAST/LUNCH/SNACKS/DINNER)" numFmtId="0">
      <sharedItems containsBlank="1" count="4">
        <s v="Lunch"/>
        <s v="Dinner"/>
        <s v="Breakfast"/>
        <m/>
      </sharedItems>
    </cacheField>
    <cacheField name="TYPE(SUBSCRIPTION/REGULAR)" numFmtId="0">
      <sharedItems containsBlank="1"/>
    </cacheField>
    <cacheField name="DISH NAME" numFmtId="0">
      <sharedItems count="156">
        <s v="Rice(750ml), Sambar(250ml),Vendakkai fry(100ml),keerai poriyal(100ml),Mor (100ml),Rasam(100ml), Appalam"/>
        <s v="Egg kothu chappathi(500ml) with gravy (100ml)"/>
        <s v="Ragi idiyapam(4no.s) with white kurma(250ml)"/>
        <s v="Steamed rice (500ml), Dhal (250ml), Chicken 65 (100ml), Boiled egg (1 nos), Rasam (100ml)"/>
        <s v="Chapathi (4 nos) with Veg gravy (250ml)"/>
        <s v="Sambar"/>
        <s v="Vegetable poriyal, Chicken thokku, Sambar"/>
        <s v="Rice with sambar and poriyal"/>
        <s v="Egg kurma"/>
        <s v="Vegetable poriyal"/>
        <s v="Ragi Chapathi(4no.s) with mushroom gravy(250ml)"/>
        <s v="Pesarattu dosa(3no.s) with kaara chutney(250ml), Omelette (1 nos)"/>
        <s v="Rice(750ml), Potato fry(100ml),kathirikkai kootu(100ml),Mor kuzhambu(250ml),Mor(100ml),Rasam(100ml), Appalam"/>
        <s v="Idly (4 pcs) with Fish kulambu (250ml)"/>
        <s v="Steamed rice (500ml), Fish gravy (250ml) with pcs, Rasam (100ml)"/>
        <s v="Uthappam (3 nos) with puthina chutney (250ml)"/>
        <s v="Poori(4no.s) with chicken kuzhambu (250ml)"/>
        <s v="Organic Karuppu kavuni kanji"/>
        <s v="Rice(750ml), payaru kulambu(250ml), cabbage poriyal(100ml), pudalangai kootu (100ml), rasam(100ml), mor(100ml), appalam"/>
        <s v="Uluthan kali (500ml) with jaggery"/>
        <s v="Wheat samba upma(500ml) with coconut chutney(100ml)"/>
        <s v="Lemon rice (500ml) with egg pepper fry (2no.s)"/>
        <s v="Rava bath (500ml) with coconut chutney(100ml)"/>
        <s v="Chicken fried rice (500ml) with sauce"/>
        <s v="Rice(750ml), tomato curry(250ml), vazhakkai varuval(200ml), rasam(100ml) mor (100ml), appalam, pickle"/>
        <s v="Egg dosa (1 no.s), Plain dosa (2 pcs) with sambar (250ml) qnd chutney (100ml)"/>
        <s v="Steamed rice(500ml), veg gravy(250ml),chicken 65(2500ml), poriyal(100ml), curd(100ml)"/>
        <s v="Keerai kootu"/>
        <s v="Paruppu thakkali kadayal"/>
        <s v="Vegetable kootu"/>
        <s v="Prawn kurma"/>
        <s v="Mutton thokku"/>
        <s v="Mushroom Biryani(seeraga samba rice)"/>
        <s v="Lemon rice with potato thokku"/>
        <s v="Curd rice with potato thokku"/>
        <s v="White rice"/>
        <s v="Chicken thokku"/>
        <s v="Idly (4 nos) with vada curry (250ml)"/>
        <s v="Adai dosa (3 no.s) with kaara chutney (250ml)"/>
        <s v="Rice(750ml), keerai kulambu (250ml), carrot poriyal(100ml), chowchow kootu (100ml), rasam (100ml), mor(100ml), appalam"/>
        <s v="Appam (4 pcs) with Chicken stew (250ml)"/>
        <s v="Rice (750ml),Keerai Kadayal(250ml), Carrot Poriyal (200ml), Rasam (100ml), Mor (100ml), Appalam, Pickle"/>
        <s v="Steamed rice (750ml) with Chicken curry (250ml), Egg omeltte (1 pcs), Rasam (100ml), Curd (100ml)"/>
        <s v="Kara paniyara (10 pcs) with kara chutney (100ml)"/>
        <s v="Steamed rice (500ml), Rasam (250ml), Chicken uppu kari(100ml)"/>
        <s v="Keerai paruppu kadayal"/>
        <s v="Egg fry"/>
        <s v="White veg pulav(basmati rice)"/>
        <s v="Chicken family combo"/>
        <s v="Double Omelette"/>
        <s v="Chicken Biryani"/>
        <s v="Potato thokku"/>
        <s v="Rice with rasam and egg fry"/>
        <s v="Steamed rice (750ml), Egg gravy (250ml) with eggs (2 pcs), Rasam (100ml), Appalam"/>
        <s v="Chicken kheema dosa (1 pcs), Kal dosa (1 pcs) with Chutney (250ml)"/>
        <s v="Ven pongal(500ml) with sambar (250ml) and coconut chutney (100ml)"/>
        <s v="Rice(750ml), payaru kulambu(250ml), pudalangai kootu (100ml), rasam(100ml), mor(100ml), appalam,picle"/>
        <s v="Fish meals"/>
        <s v="Egg podimas"/>
        <s v="Tamarind rice with egg fry"/>
        <s v="Ayala fish fry"/>
        <s v="Rasam"/>
        <s v="Meen kuzhambu"/>
        <s v="Rice with chicken gravy"/>
        <s v="Vatha kulambu"/>
        <s v="Rice with chicken kulambu"/>
        <s v="Chapathi (4 pcs) with Chicken curry (250ml)"/>
        <s v="Chicken Biryani (750ml) with Boiled egg (1 nos), Chicken 65 (100ml), Raita (100ml)"/>
        <s v="Tomato rice(500ml), chicken 65 (100ml), raita (100ml)"/>
        <s v="Appam (3 nos) with coconut milk (250ml)"/>
        <s v="Appam (3 pcs) with Chicken gravy (250ml)"/>
        <s v="Pepper prawn thokku"/>
        <s v="nethili karuvadu thokku"/>
        <s v="Side dish combo"/>
        <s v="Mutton kuzhambu"/>
        <s v="Rice with prawn thokku"/>
        <s v="Pepper chicken"/>
        <s v="Rice(750ml), vatha kulambu(250ml), beetroot poriyal(100ml), sorakkai kootu(100ml), rasam (100ml), mor (100ml), appalam"/>
        <s v="Samba wheat kichadi(500l) with coconut chutney (100ml)"/>
        <s v="Idly (4 nos) with Sambar (250 ml) and green chutney (100ml)"/>
        <s v="Mini ghee podi idly (500ml) with chutney (250ml)"/>
        <s v="Dosa (3no.s) with pepper chicken curry(250ml)"/>
        <s v="Ghee rice (500ml) with 100ml gravy"/>
        <s v="Lemon rice (500ml) with poriyal(100ml)"/>
        <s v="Moor kuzhambu"/>
        <s v="Vepampoo rasam"/>
        <s v="Paruppu payasam"/>
        <s v="Sambar rice (500ml) with poriyal (100ml)"/>
        <s v="Chapathi (4 pcs) with Mushroom gravy (250ml)"/>
        <s v="Rice(750ml),sambar(250ml),vendakkai fry(100ml), keerai poriyal(100ml), rsam(100ml), mor(100ml),appalam"/>
        <s v="Mixed vegetable sambar"/>
        <s v="Chicken 65"/>
        <s v="Vendakkai poriyal"/>
        <s v="Mutton kuzhambu (with bones)"/>
        <s v="Crab kurma"/>
        <s v="Idly with meen kuzhambu"/>
        <s v="White veg pulav (Basmathi rice)"/>
        <s v="Seeraga samba mutton biryani"/>
        <s v="Coconut rice with potato thokku"/>
        <s v="Variety rice combo 1"/>
        <s v="Variety rice combo 2"/>
        <s v="Rice(750ml), mor kulambu(250ml),potato fry(100ml),kathirikkai kootu(100ml),rasam(100ml),mor(100ml),appalam"/>
        <s v="Puliyotharai (500ml) with poriyal (100ml)"/>
        <s v="Vazhakkai varuval"/>
        <s v="Mor kuzhambu"/>
        <s v="Steamed rice(750ml), veg gravy(250ml), chicken 65(250ml), poriyal(100ml), curd(100ml)"/>
        <s v="Coconut rice (500ml) with poriyal (100ml)"/>
        <s v="Kavalai fish fry"/>
        <s v="Chicken kuzhambu"/>
        <s v="Keerai Sadham (500ml) with poriyal (100 ml)"/>
        <s v="Ragi dosa (4 no.s) with Sambar (250ml) and Chutney (100ml)"/>
        <s v="Steamed Rice (500ml), Egg gravy with 2 eggs, Rasam (100ml), Appalam"/>
        <s v="Malli rice (500ml) with poriyal (100ml)"/>
        <s v="Rice (750ml), Payaru Kulambu (250ml), Pudalangai kootu (200ml), Rasam (100ml), Mor (100ml), Appalam, Pickle"/>
        <s v="Gobi 65"/>
        <s v="Fish curry (500ml) (1 pcs), Fish fry (2 pcs) (serves 2)"/>
        <s v="Sakkarai pongal"/>
        <s v="Rice (750ml), Vendakkai kara kulambu (250ml), Beetroot poriyal(200ml), Rasam (100ml), Mor (100ml), Appalam, Pickle"/>
        <s v="Rice (500ml), Sambar (250ml), Chicken 65 (100ml), Poriyal (100ml), Rasam (100ml)"/>
        <s v="Rice (750ml), Mixed Vegetable sambar (250ml), Potato fry (200ml), Rasam (100ml), Mor (100ml), Appalam, Pickle"/>
        <s v="Sambar (500ml), Keerai poriyal (250ml) (serves 2)"/>
        <s v="Nethili karuvadu fry"/>
        <s v="Rice (750ml), Paruppu urundai kulambu (250ml), Keerai Poriyal (200ml), Rasam (100ml), Mor (100ml), Appalam, Pickle"/>
        <s v="Mor kulambu (500ml), Potato fry (250ml) (serves2)"/>
        <s v="Dry fish meals"/>
        <s v="Prawn kadai rice with egg omelette"/>
        <s v="Rice (750ml), Tomato curry (250ml), vazhakkai varuval (200ml), Rasam (100ml), Mor (100ml), Appalam, Pickle"/>
        <s v="Payaru kulambu (500ml), Pudalangai kootu (250ml) (serves 2)"/>
        <s v="Paruppu Nei"/>
        <s v="Rice (750ml), Keerai kadayal (250ml), Carrot poriyal (200ml), Rasam (100ml), Mor (100ml), Appalam, Pickle"/>
        <s v="Rice with sambar and chicken 65"/>
        <s v="Egg fry "/>
        <s v="Vendakkai kara kozhambu"/>
        <s v="Tomato rice(500ml) with raita (100ml)"/>
        <s v="Chapathi with kurma"/>
        <s v="Crab kurma "/>
        <s v="Ghee mini sambar idly"/>
        <s v="Appam with thengai paal"/>
        <s v="Karuvadu thokku"/>
        <s v="Rice (500ml), Vendakkai kara kulambu (250ml), Beetroot poriyal (100ml)"/>
        <s v="Rice (500ml), Mixed vegetable sambar (250ml), Potato fry (100ml)"/>
        <s v="Mushroom Biryani (Basmati Rice)"/>
        <s v="Rice (500ml), Tomato curry (250ml), vazhakkai varuval (100ml)"/>
        <s v="Keerai Sadham (500ml) with poriyal (100 ml), Fryums"/>
        <s v="Rice (500ml), Payaru kulambu (250ml), Pudulangai kootu (100ml)"/>
        <s v="Odachi vitta muttai kuzhambu"/>
        <s v="Rice with sambar and egg fry"/>
        <s v="Veg Biryani"/>
        <s v="Idiyappam (4 pcs) with Egg drop curry (250ml)"/>
        <s v="Dosa (3 nos) with Fish kulambu"/>
        <s v="Podi Idly ( 2pcs) and Idly (2 pcs) with sambar (250ml) green chutney (100ml)"/>
        <s v="Iral surakkai kolambu"/>
        <s v="Masal dosa (1 nos), 2 plain dosa with kara chutney (250ml)"/>
        <s v="Puliyotharai (500ml) with poriyal (100ml), fryums, pickle"/>
        <s v="Vegetable rava kichadi (500ml) with coconut chutney (100ml)"/>
        <s v="Idly (4 nos) with Tomato gravy (250ml)"/>
      </sharedItems>
    </cacheField>
    <cacheField name="QUANTITY" numFmtId="0">
      <sharedItems containsSemiMixedTypes="0" containsString="0" containsNumber="1" containsInteger="1" minValue="1" maxValue="5"/>
    </cacheField>
    <cacheField name="ORDER VALUE" numFmtId="0">
      <sharedItems containsString="0" containsBlank="1" containsNumber="1" containsInteger="1" minValue="65" maxValue="949"/>
    </cacheField>
    <cacheField name="CLASSIFICATION(Veg/Non-veg/Beverage)" numFmtId="0">
      <sharedItems/>
    </cacheField>
    <cacheField name="Date2" numFmtId="164">
      <sharedItems containsNonDate="0" containsDate="1" containsString="0" containsBlank="1" minDate="2025-04-01T00:00:00" maxDate="2025-04-12T00:00:00"/>
    </cacheField>
    <cacheField name="TYPE_FIXED" numFmtId="0">
      <sharedItems count="2">
        <s v="SUBSCRIPTION"/>
        <s v="REGULA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0.466880324071" createdVersion="8" refreshedVersion="8" minRefreshableVersion="3" recordCount="880" xr:uid="{1F25369A-4D45-48ED-ABC0-E19BDC862CE2}">
  <cacheSource type="worksheet">
    <worksheetSource name="Table5[[ORDER ID]:[CLASSIFICATION(Veg/Non-veg/Beverage)]]"/>
  </cacheSource>
  <cacheFields count="11">
    <cacheField name="ORDER ID" numFmtId="0">
      <sharedItems containsBlank="1"/>
    </cacheField>
    <cacheField name="DATE" numFmtId="14">
      <sharedItems containsNonDate="0" containsDate="1" containsString="0" containsBlank="1" minDate="2025-04-01T00:00:00" maxDate="2025-05-27T00:00:00" count="49">
        <d v="2025-04-01T00:00:00"/>
        <m/>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26T00:00:00"/>
      </sharedItems>
      <fieldGroup par="10"/>
    </cacheField>
    <cacheField name="DAY" numFmtId="0">
      <sharedItems containsBlank="1" count="8">
        <s v="Tuesday"/>
        <m/>
        <s v="Wednesday"/>
        <s v="Thursday"/>
        <s v="Friday"/>
        <s v="Saturday"/>
        <s v="Sunday"/>
        <s v="Monday"/>
      </sharedItems>
    </cacheField>
    <cacheField name="CATEGORY(BREAKFAST/LUNCH/SNACKS/DINNER)" numFmtId="0">
      <sharedItems containsBlank="1" count="4">
        <s v="Lunch"/>
        <s v="Dinner"/>
        <s v="Breakfast"/>
        <m/>
      </sharedItems>
    </cacheField>
    <cacheField name="TYPE(SUBSCRIPTION/REGULAR)" numFmtId="0">
      <sharedItems containsBlank="1" count="3">
        <s v="SUBSCRIPTION"/>
        <s v="REGULAR"/>
        <m/>
      </sharedItems>
    </cacheField>
    <cacheField name="DISH NAME" numFmtId="0">
      <sharedItems/>
    </cacheField>
    <cacheField name="QUANTITY" numFmtId="0">
      <sharedItems containsSemiMixedTypes="0" containsString="0" containsNumber="1" containsInteger="1" minValue="1" maxValue="5"/>
    </cacheField>
    <cacheField name="ORDER VALUE" numFmtId="0">
      <sharedItems containsString="0" containsBlank="1" containsNumber="1" containsInteger="1" minValue="65" maxValue="949"/>
    </cacheField>
    <cacheField name="CLASSIFICATION(Veg/Non-veg/Beverage)" numFmtId="0">
      <sharedItems containsBlank="1" count="3">
        <s v="Veg"/>
        <s v="Non-veg"/>
        <m u="1"/>
      </sharedItems>
    </cacheField>
    <cacheField name="Days (DATE)" numFmtId="0" databaseField="0">
      <fieldGroup base="1">
        <rangePr groupBy="days" startDate="2025-04-01T00:00:00" endDate="2025-05-27T00:00:00"/>
        <groupItems count="368">
          <s v="&lt;01-04-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5-2025"/>
        </groupItems>
      </fieldGroup>
    </cacheField>
    <cacheField name="Months (DATE)" numFmtId="0" databaseField="0">
      <fieldGroup base="1">
        <rangePr groupBy="months" startDate="2025-04-01T00:00:00" endDate="2025-05-27T00:00:00"/>
        <groupItems count="14">
          <s v="&lt;01-04-2025"/>
          <s v="Jan"/>
          <s v="Feb"/>
          <s v="Mar"/>
          <s v="Apr"/>
          <s v="May"/>
          <s v="Jun"/>
          <s v="Jul"/>
          <s v="Aug"/>
          <s v="Sep"/>
          <s v="Oct"/>
          <s v="Nov"/>
          <s v="Dec"/>
          <s v="&gt;27-05-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3">
  <r>
    <n v="1"/>
    <x v="0"/>
    <x v="0"/>
    <s v="Veg"/>
    <d v="1899-12-30T01:30:00"/>
    <n v="90"/>
    <m/>
    <s v="250ml with 2 no.s vada"/>
  </r>
  <r>
    <n v="2"/>
    <x v="1"/>
    <x v="0"/>
    <s v="Veg"/>
    <d v="1899-12-30T01:00:00"/>
    <n v="75"/>
    <m/>
    <s v="250ml with 2 no.s vada"/>
  </r>
  <r>
    <n v="3"/>
    <x v="2"/>
    <x v="1"/>
    <s v="Veg"/>
    <d v="1899-12-30T01:30:00"/>
    <n v="75"/>
    <m/>
    <s v="500 ml with 100 ml of chutney"/>
  </r>
  <r>
    <n v="3"/>
    <x v="2"/>
    <x v="2"/>
    <s v="Veg"/>
    <d v="1899-12-30T01:30:00"/>
    <n v="75"/>
    <m/>
    <s v="500 ml with 100 ml of chutney"/>
  </r>
  <r>
    <n v="3"/>
    <x v="2"/>
    <x v="3"/>
    <s v="Veg"/>
    <d v="1899-12-30T01:30:00"/>
    <n v="75"/>
    <m/>
    <s v="500 ml with 100 ml of chutney"/>
  </r>
  <r>
    <n v="4"/>
    <x v="3"/>
    <x v="1"/>
    <s v="Veg"/>
    <d v="1899-12-30T01:00:00"/>
    <n v="60"/>
    <m/>
    <s v="3 no.s idli with 100 ml sambhar and chutney"/>
  </r>
  <r>
    <n v="4"/>
    <x v="3"/>
    <x v="2"/>
    <s v="Veg"/>
    <d v="1899-12-30T02:00:00"/>
    <n v="60"/>
    <m/>
    <s v="3 no.s idli with 100 ml sambhar and chutney"/>
  </r>
  <r>
    <n v="5"/>
    <x v="4"/>
    <x v="0"/>
    <s v="Veg"/>
    <d v="1899-12-30T02:00:00"/>
    <n v="160"/>
    <m/>
    <s v="750ml veg biryani with seeraga sambha rice wih 100 ml raita"/>
  </r>
  <r>
    <n v="5"/>
    <x v="4"/>
    <x v="1"/>
    <s v="Veg"/>
    <d v="1899-12-30T02:00:00"/>
    <n v="160"/>
    <m/>
    <s v="750ml veg biryani with seeraga sambha rice wih 100 ml raita"/>
  </r>
  <r>
    <n v="6"/>
    <x v="5"/>
    <x v="1"/>
    <s v="Veg"/>
    <d v="1899-12-30T01:00:00"/>
    <n v="70"/>
    <m/>
    <s v="250ml of potato thokku"/>
  </r>
  <r>
    <n v="6"/>
    <x v="5"/>
    <x v="0"/>
    <s v="Veg"/>
    <d v="1899-12-30T01:00:00"/>
    <n v="70"/>
    <m/>
    <s v="250ml of potato thokku"/>
  </r>
  <r>
    <n v="6"/>
    <x v="5"/>
    <x v="2"/>
    <s v="Veg"/>
    <d v="1899-12-30T01:00:00"/>
    <n v="70"/>
    <m/>
    <s v="250ml of potato thokku"/>
  </r>
  <r>
    <n v="7"/>
    <x v="6"/>
    <x v="0"/>
    <s v="Non-veg"/>
    <d v="1899-12-30T01:00:00"/>
    <n v="60"/>
    <m/>
    <s v="3 no.s of egg tawa fry"/>
  </r>
  <r>
    <n v="7"/>
    <x v="6"/>
    <x v="1"/>
    <s v="Non-veg"/>
    <d v="1899-12-30T01:00:00"/>
    <n v="60"/>
    <m/>
    <s v="3 no.s of egg tawa fry"/>
  </r>
  <r>
    <n v="8"/>
    <x v="7"/>
    <x v="0"/>
    <s v="Veg"/>
    <d v="1899-12-30T01:30:00"/>
    <n v="150"/>
    <m/>
    <s v="500ml of Gobi 65 with cut onions"/>
  </r>
  <r>
    <n v="8"/>
    <x v="8"/>
    <x v="1"/>
    <s v="Veg"/>
    <d v="1899-12-30T01:30:00"/>
    <n v="151"/>
    <m/>
    <s v="500ml of Gobi 65 with cut onions"/>
  </r>
  <r>
    <n v="9"/>
    <x v="9"/>
    <x v="0"/>
    <s v="Veg"/>
    <d v="1899-12-30T01:00:00"/>
    <n v="80"/>
    <m/>
    <s v="500ml of coconut rice with 100ml potato thokku"/>
  </r>
  <r>
    <n v="9"/>
    <x v="9"/>
    <x v="1"/>
    <s v="Veg"/>
    <d v="1899-12-30T01:00:00"/>
    <n v="80"/>
    <m/>
    <s v="500ml of coconut rice with 100ml potato thokku"/>
  </r>
  <r>
    <n v="10"/>
    <x v="10"/>
    <x v="2"/>
    <s v="Veg"/>
    <d v="1899-12-30T01:30:00"/>
    <n v="80"/>
    <m/>
    <s v="1000ml of boiled rice"/>
  </r>
  <r>
    <n v="10"/>
    <x v="10"/>
    <x v="0"/>
    <s v="Veg"/>
    <d v="1899-12-30T01:30:00"/>
    <n v="80"/>
    <m/>
    <s v="1000ml of boiled rice"/>
  </r>
  <r>
    <n v="10"/>
    <x v="10"/>
    <x v="1"/>
    <s v="Veg"/>
    <d v="1899-12-30T01:30:00"/>
    <n v="80"/>
    <m/>
    <s v="1000ml of boiled rice"/>
  </r>
  <r>
    <n v="11"/>
    <x v="11"/>
    <x v="0"/>
    <s v="Veg"/>
    <d v="1899-12-30T01:00:00"/>
    <n v="80"/>
    <m/>
    <s v="500ml curd rice with 100ml potato thokku"/>
  </r>
  <r>
    <n v="11"/>
    <x v="11"/>
    <x v="2"/>
    <s v="Veg"/>
    <d v="1899-12-30T01:00:00"/>
    <n v="80"/>
    <m/>
    <s v="500ml curd rice with 100ml potato thokku"/>
  </r>
  <r>
    <n v="11"/>
    <x v="11"/>
    <x v="1"/>
    <s v="Veg"/>
    <d v="1899-12-30T01:00:00"/>
    <n v="80"/>
    <m/>
    <s v="500ml curd rice with 100ml potato thokku"/>
  </r>
  <r>
    <n v="12"/>
    <x v="12"/>
    <x v="0"/>
    <s v="Veg"/>
    <d v="1899-12-30T01:00:00"/>
    <n v="60"/>
    <m/>
    <s v="250ml of paruppu thakkali kadayal"/>
  </r>
  <r>
    <n v="12"/>
    <x v="12"/>
    <x v="2"/>
    <s v="Veg"/>
    <d v="1899-12-30T01:00:00"/>
    <n v="60"/>
    <m/>
    <s v="250ml of paruppu thakkali kadayal"/>
  </r>
  <r>
    <n v="12"/>
    <x v="12"/>
    <x v="1"/>
    <s v="Veg"/>
    <d v="1899-12-30T01:00:00"/>
    <n v="60"/>
    <m/>
    <s v="250ml of paruppu thakkali kadayal"/>
  </r>
  <r>
    <n v="13"/>
    <x v="13"/>
    <x v="0"/>
    <s v="Veg"/>
    <d v="1899-12-30T01:30:00"/>
    <n v="105"/>
    <m/>
    <s v="250ml of delicious sweet pongal made with ghee"/>
  </r>
  <r>
    <n v="13"/>
    <x v="13"/>
    <x v="2"/>
    <s v="Veg"/>
    <d v="1899-12-30T01:30:00"/>
    <n v="105"/>
    <m/>
    <s v="250ml of delicious sweet pongal made with ghee"/>
  </r>
  <r>
    <n v="13"/>
    <x v="13"/>
    <x v="1"/>
    <s v="Veg"/>
    <d v="1899-12-30T01:30:00"/>
    <n v="105"/>
    <m/>
    <s v="250ml of delicious sweet pongal made with ghee"/>
  </r>
  <r>
    <n v="14"/>
    <x v="14"/>
    <x v="0"/>
    <s v="Veg"/>
    <d v="1899-12-30T01:30:00"/>
    <n v="70"/>
    <m/>
    <s v="250ml of vendakai kara kozhambu"/>
  </r>
  <r>
    <n v="14"/>
    <x v="14"/>
    <x v="1"/>
    <s v="Veg"/>
    <d v="1899-12-30T01:30:00"/>
    <n v="70"/>
    <m/>
    <s v="250ml of vendakai kara kozhambu"/>
  </r>
  <r>
    <n v="15"/>
    <x v="15"/>
    <x v="0"/>
    <s v="Veg"/>
    <d v="1899-12-30T01:30:00"/>
    <n v="80"/>
    <m/>
    <s v="500ml of Lemon rice with 100ml potato thokku"/>
  </r>
  <r>
    <n v="15"/>
    <x v="15"/>
    <x v="1"/>
    <s v="Veg"/>
    <d v="1899-12-30T01:30:00"/>
    <n v="80"/>
    <m/>
    <s v="500ml of Lemon rice with 100ml potato thokku"/>
  </r>
  <r>
    <n v="15"/>
    <x v="15"/>
    <x v="2"/>
    <s v="Veg"/>
    <d v="1899-12-30T01:30:00"/>
    <n v="80"/>
    <m/>
    <s v="500ml of Lemon rice with 100ml potato thokku"/>
  </r>
  <r>
    <n v="16"/>
    <x v="16"/>
    <x v="0"/>
    <s v="Non-veg"/>
    <d v="1899-12-30T01:00:00"/>
    <n v="170"/>
    <m/>
    <s v="2 no.s of any seasonal fish fry paarai/naaku/seela"/>
  </r>
  <r>
    <n v="16"/>
    <x v="16"/>
    <x v="1"/>
    <s v="Non-veg"/>
    <d v="1899-12-30T01:00:00"/>
    <n v="170"/>
    <m/>
    <s v="2 no.s of any seasonal fish fry paarai/naaku/seela"/>
  </r>
  <r>
    <n v="17"/>
    <x v="17"/>
    <x v="0"/>
    <s v="Veg"/>
    <d v="1899-12-30T01:30:00"/>
    <n v="70"/>
    <m/>
    <s v="250ml of vendakkai poriyal"/>
  </r>
  <r>
    <n v="17"/>
    <x v="17"/>
    <x v="1"/>
    <s v="Veg"/>
    <d v="1899-12-30T01:30:00"/>
    <n v="70"/>
    <m/>
    <s v="250ml of vendakkai poriyal"/>
  </r>
  <r>
    <n v="18"/>
    <x v="18"/>
    <x v="0"/>
    <s v="Non-veg"/>
    <d v="1899-12-30T02:00:00"/>
    <n v="130"/>
    <m/>
    <s v="250ml of Iral surakkai kolambu"/>
  </r>
  <r>
    <n v="19"/>
    <x v="19"/>
    <x v="0"/>
    <s v="Veg"/>
    <d v="1899-12-30T01:30:00"/>
    <n v="65"/>
    <m/>
    <s v="250ml of milagu rasam"/>
  </r>
  <r>
    <n v="19"/>
    <x v="19"/>
    <x v="1"/>
    <s v="Veg"/>
    <d v="1899-12-30T01:30:00"/>
    <n v="65"/>
    <m/>
    <s v="250ml of milagu rasam"/>
  </r>
  <r>
    <n v="20"/>
    <x v="20"/>
    <x v="0"/>
    <s v="Veg"/>
    <d v="1899-12-30T01:30:00"/>
    <n v="65"/>
    <m/>
    <s v="250mlof any vegetable kootu"/>
  </r>
  <r>
    <n v="20"/>
    <x v="20"/>
    <x v="1"/>
    <s v="Veg"/>
    <d v="1899-12-30T01:30:00"/>
    <n v="65"/>
    <m/>
    <s v="250mlof any vegetable kootu"/>
  </r>
  <r>
    <n v="21"/>
    <x v="21"/>
    <x v="0"/>
    <s v="Veg"/>
    <d v="1899-12-30T02:00:00"/>
    <n v="65"/>
    <m/>
    <s v="250ml of any vegetable sambar"/>
  </r>
  <r>
    <n v="21"/>
    <x v="21"/>
    <x v="1"/>
    <s v="Veg"/>
    <d v="1899-12-30T02:00:00"/>
    <n v="65"/>
    <m/>
    <s v="250ml of any vegetable sambar"/>
  </r>
  <r>
    <n v="22"/>
    <x v="22"/>
    <x v="0"/>
    <s v="Veg"/>
    <d v="1899-12-30T01:30:00"/>
    <n v="65"/>
    <m/>
    <s v="250ml of any vegetable poriyal"/>
  </r>
  <r>
    <n v="22"/>
    <x v="22"/>
    <x v="1"/>
    <s v="Veg"/>
    <d v="1899-12-30T01:30:00"/>
    <n v="65"/>
    <m/>
    <s v="250ml of any vegetable poriyal"/>
  </r>
  <r>
    <n v="23"/>
    <x v="23"/>
    <x v="2"/>
    <s v="Veg"/>
    <d v="1899-12-30T03:00:00"/>
    <n v="140"/>
    <m/>
    <s v="750ml rice with 100ml of sambhar 100ml of vatha kuzhambu 100ml of any vegetable poriyal 100ml of any vegetable kootu 100ml of rasam 100ml of buttermilk with vattal or appalam"/>
  </r>
  <r>
    <n v="23"/>
    <x v="23"/>
    <x v="0"/>
    <s v="Veg"/>
    <d v="1899-12-30T03:00:00"/>
    <n v="140"/>
    <m/>
    <s v="750ml rice with 100ml of sambhar 100ml of vatha kuzhambu 100ml of any vegetable poriyal 100ml of any vegetable kootu 100ml of rasam 100ml of buttermilk with vattal or appalam"/>
  </r>
  <r>
    <n v="23"/>
    <x v="23"/>
    <x v="1"/>
    <s v="Veg"/>
    <d v="1899-12-30T03:00:00"/>
    <n v="140"/>
    <m/>
    <s v="750ml rice with 100ml of sambhar 100ml of vatha kuzhambu 100ml of any vegetable poriyal 100ml of any vegetable kootu 100ml of rasam 100ml of buttermilk with vattal or appalam"/>
  </r>
  <r>
    <n v="23"/>
    <x v="23"/>
    <x v="3"/>
    <s v="Veg"/>
    <d v="1899-12-30T03:00:00"/>
    <n v="140"/>
    <m/>
    <s v="750ml rice with 100ml of sambhar 100ml of vatha kuzhambu 100ml of any vegetable poriyal 100ml of any vegetable kootu 100ml of rasam 100ml of buttermilk with vattal or appalam"/>
  </r>
  <r>
    <n v="24"/>
    <x v="24"/>
    <x v="0"/>
    <s v="Veg"/>
    <d v="1899-12-30T01:30:00"/>
    <n v="65"/>
    <m/>
    <s v="500ml  of rava upma with 100ml of samhar and chutney"/>
  </r>
  <r>
    <n v="24"/>
    <x v="24"/>
    <x v="1"/>
    <s v="Veg"/>
    <d v="1899-12-30T01:30:00"/>
    <n v="65"/>
    <m/>
    <s v="500ml  of rava upma with 100ml of samhar and chutney"/>
  </r>
  <r>
    <n v="24"/>
    <x v="24"/>
    <x v="2"/>
    <s v="Veg"/>
    <d v="1899-12-30T01:30:00"/>
    <n v="65"/>
    <m/>
    <s v="500ml  of rava upma with 100ml of samhar and chutney"/>
  </r>
  <r>
    <n v="25"/>
    <x v="25"/>
    <x v="0"/>
    <s v="Non-veg"/>
    <d v="1899-12-30T00:45:00"/>
    <n v="60"/>
    <m/>
    <s v="Pepper omelette with 2 no.s of egg"/>
  </r>
  <r>
    <n v="25"/>
    <x v="25"/>
    <x v="2"/>
    <s v="Non-veg"/>
    <d v="1899-12-30T00:45:00"/>
    <n v="60"/>
    <m/>
    <s v="Pepper omelette with 2 no.s of egg"/>
  </r>
  <r>
    <n v="25"/>
    <x v="25"/>
    <x v="3"/>
    <s v="Non-veg"/>
    <d v="1899-12-30T00:45:00"/>
    <n v="60"/>
    <m/>
    <s v="Pepper omelette with 2 no.s of egg"/>
  </r>
  <r>
    <n v="25"/>
    <x v="25"/>
    <x v="1"/>
    <s v="Non-veg"/>
    <d v="1899-12-30T00:45:00"/>
    <n v="60"/>
    <m/>
    <s v="Pepper omelette with 2 no.s of egg"/>
  </r>
  <r>
    <n v="26"/>
    <x v="26"/>
    <x v="0"/>
    <s v="Non-veg"/>
    <d v="1899-12-30T01:30:00"/>
    <n v="140"/>
    <m/>
    <s v="2 no.s of full ayala fish fry"/>
  </r>
  <r>
    <n v="26"/>
    <x v="26"/>
    <x v="1"/>
    <s v="Non-veg"/>
    <d v="1899-12-30T01:30:00"/>
    <n v="140"/>
    <m/>
    <s v="2 no.s of full ayala fish fry"/>
  </r>
  <r>
    <n v="27"/>
    <x v="27"/>
    <x v="1"/>
    <s v="Veg"/>
    <d v="1899-12-30T01:30:00"/>
    <n v="75"/>
    <m/>
    <s v="2 no.s of podi dosa with 100ml sambhar and chutney"/>
  </r>
  <r>
    <n v="27"/>
    <x v="27"/>
    <x v="2"/>
    <s v="Veg"/>
    <d v="1899-12-30T01:30:00"/>
    <n v="75"/>
    <m/>
    <s v="2 no.s of podi dosa with 100ml sambhar and chutney"/>
  </r>
  <r>
    <n v="28"/>
    <x v="28"/>
    <x v="1"/>
    <s v="Veg"/>
    <d v="1899-12-30T01:30:00"/>
    <n v="65"/>
    <m/>
    <s v="2 no.s of kal dosa with 100ml of sambhar and chutney"/>
  </r>
  <r>
    <n v="28"/>
    <x v="28"/>
    <x v="2"/>
    <s v="Veg"/>
    <d v="1899-12-30T01:30:00"/>
    <n v="65"/>
    <m/>
    <s v="2 no.s of kal dosa with 100ml of sambhar and chutney"/>
  </r>
  <r>
    <n v="29"/>
    <x v="29"/>
    <x v="0"/>
    <s v="Non-veg"/>
    <d v="1899-12-30T02:00:00"/>
    <n v="160"/>
    <m/>
    <s v="500ml of crab curry with 2 piece of crab"/>
  </r>
  <r>
    <n v="30"/>
    <x v="30"/>
    <x v="0"/>
    <s v="Non-veg"/>
    <d v="1899-12-30T02:00:00"/>
    <n v="130"/>
    <m/>
    <s v="500ml of any fish curry with 2 pieces of fish"/>
  </r>
  <r>
    <n v="30"/>
    <x v="30"/>
    <x v="1"/>
    <s v="Non-veg"/>
    <d v="1899-12-30T02:00:00"/>
    <n v="130"/>
    <m/>
    <s v="500ml of any fish curry with 2 pieces of fish"/>
  </r>
  <r>
    <n v="31"/>
    <x v="31"/>
    <x v="0"/>
    <s v="Non-veg"/>
    <d v="1899-12-30T02:00:00"/>
    <n v="180"/>
    <m/>
    <s v="250ml of pepper prawn thokku"/>
  </r>
  <r>
    <n v="31"/>
    <x v="31"/>
    <x v="1"/>
    <s v="Non-veg"/>
    <d v="1899-12-30T02:00:00"/>
    <n v="180"/>
    <m/>
    <s v="250ml of pepper prawn thokku"/>
  </r>
  <r>
    <n v="32"/>
    <x v="32"/>
    <x v="0"/>
    <s v="Non-veg"/>
    <d v="1899-12-30T02:00:00"/>
    <n v="170"/>
    <m/>
    <s v="500ml rice, 250ml prawn thokku, 100ml rasam with 1no.s egg"/>
  </r>
  <r>
    <n v="33"/>
    <x v="33"/>
    <x v="0"/>
    <s v="Non-veg"/>
    <d v="1899-12-30T02:00:00"/>
    <n v="170"/>
    <m/>
    <s v="500ml rice, 250ml full crab kurma, 100ml rasam with 1no.s egg"/>
  </r>
  <r>
    <n v="34"/>
    <x v="34"/>
    <x v="0"/>
    <s v="Non-veg"/>
    <d v="1899-12-30T02:00:00"/>
    <n v="190"/>
    <m/>
    <s v="500ml rice, 250ml of fish curry, 100ml rasam,1 no.s ayala fish fry with 1no.s egg"/>
  </r>
  <r>
    <n v="35"/>
    <x v="35"/>
    <x v="0"/>
    <s v="Non-veg"/>
    <d v="1899-12-30T02:00:00"/>
    <n v="240"/>
    <m/>
    <s v="250ml of prawn thokku, 2no.s of ayala fish fry and 2 no.s of egg"/>
  </r>
  <r>
    <n v="35"/>
    <x v="35"/>
    <x v="1"/>
    <s v="Non-veg"/>
    <d v="1899-12-30T02:00:00"/>
    <n v="240"/>
    <m/>
    <s v="250ml of prawn thokku, 2no.s of ayala fish fry and 2 no.s of egg"/>
  </r>
  <r>
    <n v="36"/>
    <x v="36"/>
    <x v="0"/>
    <s v="Non-veg"/>
    <d v="1899-12-30T01:30:00"/>
    <n v="80"/>
    <m/>
    <s v="500ml of egg kurma with 2 no.s of egg"/>
  </r>
  <r>
    <n v="36"/>
    <x v="36"/>
    <x v="1"/>
    <s v="Non-veg"/>
    <d v="1899-12-30T01:30:00"/>
    <n v="80"/>
    <m/>
    <s v="500ml of egg kurma with 2 no.s of egg"/>
  </r>
  <r>
    <n v="37"/>
    <x v="37"/>
    <x v="0"/>
    <s v="Non-veg"/>
    <d v="1899-12-30T03:00:00"/>
    <n v="130"/>
    <m/>
    <s v="1no.s of kali with 250 ml karuvaatu kuzhambu"/>
  </r>
  <r>
    <n v="38"/>
    <x v="38"/>
    <x v="0"/>
    <s v="Non-veg"/>
    <d v="1899-12-30T01:00:00"/>
    <n v="160"/>
    <m/>
    <s v="250ml of chicken thokku"/>
  </r>
  <r>
    <n v="38"/>
    <x v="38"/>
    <x v="1"/>
    <s v="Non-veg"/>
    <d v="1899-12-30T01:00:00"/>
    <n v="160"/>
    <m/>
    <s v="250ml of chicken thokku"/>
  </r>
  <r>
    <n v="39"/>
    <x v="39"/>
    <x v="1"/>
    <s v="Non-veg"/>
    <d v="1899-12-30T01:30:00"/>
    <n v="130"/>
    <m/>
    <s v="4 no.s of idly with 250ml of meen kuzhambu with 1 piece of fish"/>
  </r>
  <r>
    <n v="39"/>
    <x v="39"/>
    <x v="2"/>
    <s v="Non-veg"/>
    <d v="1899-12-30T01:30:00"/>
    <n v="130"/>
    <m/>
    <s v="4 no.s of idly with 250ml of meen kuzhambu with 1 piece of fish"/>
  </r>
  <r>
    <n v="40"/>
    <x v="40"/>
    <x v="1"/>
    <s v="Non-veg"/>
    <d v="1899-12-30T01:30:00"/>
    <n v="130"/>
    <m/>
    <s v="4 no.s of idly with 250ml of chicken curry"/>
  </r>
  <r>
    <n v="40"/>
    <x v="40"/>
    <x v="2"/>
    <s v="Non-veg"/>
    <d v="1899-12-30T01:30:00"/>
    <n v="130"/>
    <m/>
    <s v="4 no.s of idly with 250ml of chicken curry"/>
  </r>
  <r>
    <n v="41"/>
    <x v="41"/>
    <x v="0"/>
    <s v="Non-veg"/>
    <d v="1899-12-30T01:30:00"/>
    <n v="130"/>
    <m/>
    <s v="6 no.s of kavalai fish fry"/>
  </r>
  <r>
    <n v="41"/>
    <x v="41"/>
    <x v="1"/>
    <s v="Non-veg"/>
    <d v="1899-12-30T01:30:00"/>
    <n v="130"/>
    <m/>
    <s v="6 no.s of kavalai fish fry"/>
  </r>
  <r>
    <n v="42"/>
    <x v="42"/>
    <x v="1"/>
    <s v="Veg"/>
    <d v="1899-12-30T01:30:00"/>
    <n v="80"/>
    <m/>
    <s v="250ml of pongal with 100ml sambhar and chutney"/>
  </r>
  <r>
    <n v="42"/>
    <x v="42"/>
    <x v="2"/>
    <s v="Veg"/>
    <d v="1899-12-30T01:30:00"/>
    <n v="80"/>
    <m/>
    <s v="250ml of pongal with 100ml sambhar and chutney"/>
  </r>
  <r>
    <n v="43"/>
    <x v="43"/>
    <x v="1"/>
    <s v="Veg"/>
    <d v="1899-12-30T01:30:00"/>
    <n v="80"/>
    <m/>
    <s v="3 no.s of appam with 250ml thengai pal"/>
  </r>
  <r>
    <n v="43"/>
    <x v="43"/>
    <x v="2"/>
    <s v="Veg"/>
    <d v="1899-12-30T01:30:00"/>
    <n v="80"/>
    <m/>
    <s v="3 no.s of appam with 250ml thengai pal"/>
  </r>
  <r>
    <n v="44"/>
    <x v="44"/>
    <x v="1"/>
    <s v="Veg"/>
    <d v="1899-12-30T01:30:00"/>
    <n v="70"/>
    <m/>
    <s v="2 no.s of onion dosa with 100ml sambhar and chutney"/>
  </r>
  <r>
    <n v="44"/>
    <x v="44"/>
    <x v="2"/>
    <s v="Veg"/>
    <d v="1899-12-30T01:30:00"/>
    <n v="70"/>
    <m/>
    <s v="2 no.s of onion dosa with 100ml sambhar and chutney"/>
  </r>
  <r>
    <n v="45"/>
    <x v="45"/>
    <x v="1"/>
    <s v="Veg"/>
    <d v="1899-12-30T02:00:00"/>
    <n v="110"/>
    <m/>
    <s v="4 no.s of poori with 250ml of vegetable kurma"/>
  </r>
  <r>
    <n v="45"/>
    <x v="45"/>
    <x v="2"/>
    <s v="Veg"/>
    <d v="1899-12-30T02:00:00"/>
    <n v="110"/>
    <m/>
    <s v="4 no.s of poori with 250ml of vegetable kurma"/>
  </r>
  <r>
    <n v="46"/>
    <x v="46"/>
    <x v="1"/>
    <s v="Non-veg"/>
    <d v="1899-12-30T01:30:00"/>
    <n v="90"/>
    <m/>
    <s v="2 no.s of egg dosa with 100ml sambhar and chutney"/>
  </r>
  <r>
    <n v="46"/>
    <x v="46"/>
    <x v="2"/>
    <s v="Non-veg"/>
    <d v="1899-12-30T01:30:00"/>
    <n v="90"/>
    <m/>
    <s v="2 no.s of egg dosa with 100ml sambhar and chutney"/>
  </r>
  <r>
    <n v="47"/>
    <x v="47"/>
    <x v="1"/>
    <s v="Veg"/>
    <d v="1899-12-30T01:30:00"/>
    <n v="100"/>
    <m/>
    <s v="4 no.s of poori with 250ml of potato masala"/>
  </r>
  <r>
    <n v="47"/>
    <x v="47"/>
    <x v="2"/>
    <s v="Veg"/>
    <d v="1899-12-30T01:30:00"/>
    <n v="100"/>
    <m/>
    <s v="4 no.s of poori with 250ml of potato masala"/>
  </r>
  <r>
    <n v="48"/>
    <x v="48"/>
    <x v="1"/>
    <s v="Veg"/>
    <d v="1899-12-30T01:30:00"/>
    <n v="100"/>
    <m/>
    <s v="4 no.s of chappathi with 250ml of potato masala"/>
  </r>
  <r>
    <n v="48"/>
    <x v="48"/>
    <x v="2"/>
    <s v="Veg"/>
    <d v="1899-12-30T01:30:00"/>
    <n v="100"/>
    <m/>
    <s v="4 no.s of chappathi with 250ml of potato masala"/>
  </r>
  <r>
    <n v="48"/>
    <x v="48"/>
    <x v="0"/>
    <s v="Veg"/>
    <d v="1899-12-30T01:30:00"/>
    <n v="100"/>
    <m/>
    <s v="4 no.s of chappathi with 250ml of potato masala"/>
  </r>
  <r>
    <n v="48"/>
    <x v="49"/>
    <x v="1"/>
    <s v="Veg"/>
    <d v="1899-12-30T01:30:00"/>
    <n v="110"/>
    <m/>
    <s v="4 no.s of chappathi with 250ml of vegetable masala"/>
  </r>
  <r>
    <n v="48"/>
    <x v="49"/>
    <x v="2"/>
    <s v="Veg"/>
    <d v="1899-12-30T01:30:00"/>
    <n v="110"/>
    <m/>
    <s v="4 no.s of chappathi with 250ml of vegetable masala"/>
  </r>
  <r>
    <n v="48"/>
    <x v="49"/>
    <x v="0"/>
    <s v="Veg"/>
    <d v="1899-12-30T01:30:00"/>
    <n v="110"/>
    <m/>
    <s v="4 no.s of chappathi with 250ml of vegetable masala"/>
  </r>
  <r>
    <n v="49"/>
    <x v="50"/>
    <x v="0"/>
    <s v="Non-veg"/>
    <d v="1899-12-30T02:00:00"/>
    <n v="170"/>
    <m/>
    <s v="500ml rice, 250ml chicken kuzhambu, 100ml rasam with 1 no.s egg"/>
  </r>
  <r>
    <n v="50"/>
    <x v="51"/>
    <x v="0"/>
    <s v="Non-veg"/>
    <d v="1899-12-30T02:00:00"/>
    <n v="170"/>
    <m/>
    <s v="500ml rice, 250ml karuvaatu kuzhmabu, 2 pieces dry fish fry, 100ml rasam with 1 no.s egg"/>
  </r>
  <r>
    <n v="51"/>
    <x v="52"/>
    <x v="1"/>
    <s v="Non-veg"/>
    <d v="1899-12-30T03:00:00"/>
    <n v="145"/>
    <m/>
    <s v="1 no.s kali with 250ml chicken kuzhambu"/>
  </r>
  <r>
    <n v="51"/>
    <x v="52"/>
    <x v="2"/>
    <s v="Non-veg"/>
    <d v="1899-12-30T03:00:00"/>
    <n v="145"/>
    <m/>
    <s v="1 no.s kali with 250ml chicken kuzhambu"/>
  </r>
  <r>
    <n v="52"/>
    <x v="53"/>
    <x v="0"/>
    <s v="Non-veg"/>
    <d v="1899-12-30T03:00:00"/>
    <n v="130"/>
    <m/>
    <s v="1 no.s kali with 250ml meen kuzhambu"/>
  </r>
  <r>
    <n v="52"/>
    <x v="53"/>
    <x v="2"/>
    <s v="Non-veg"/>
    <d v="1899-12-30T03:00:00"/>
    <n v="130"/>
    <m/>
    <s v="1 no.s kali with 250ml meen kuzhambu"/>
  </r>
  <r>
    <n v="52"/>
    <x v="53"/>
    <x v="1"/>
    <s v="Non-veg"/>
    <d v="1899-12-30T03:00:00"/>
    <n v="130"/>
    <m/>
    <s v="1 no.s kali with 250ml meen kuzhambu"/>
  </r>
  <r>
    <n v="53"/>
    <x v="54"/>
    <x v="1"/>
    <s v="Veg"/>
    <d v="1899-12-30T01:30:00"/>
    <n v="70"/>
    <m/>
    <s v="4 no.s of idly with 250ml of verkadlai chutney"/>
  </r>
  <r>
    <n v="53"/>
    <x v="54"/>
    <x v="2"/>
    <s v="Veg"/>
    <d v="1899-12-30T01:30:00"/>
    <n v="70"/>
    <m/>
    <s v="4 no.s of idly with 250ml of verkadlai chutney"/>
  </r>
  <r>
    <n v="54"/>
    <x v="55"/>
    <x v="1"/>
    <s v="Veg"/>
    <d v="1899-12-30T01:30:00"/>
    <n v="90"/>
    <m/>
    <s v="3 no.s of appam with 250ml of kurma"/>
  </r>
  <r>
    <n v="54"/>
    <x v="55"/>
    <x v="2"/>
    <s v="Veg"/>
    <d v="1899-12-30T01:30:00"/>
    <n v="90"/>
    <m/>
    <s v="3 no.s of appam with 250ml of kurma"/>
  </r>
  <r>
    <n v="55"/>
    <x v="56"/>
    <x v="1"/>
    <s v="Veg"/>
    <d v="1899-12-30T01:30:00"/>
    <n v="75"/>
    <m/>
    <s v="2 no.s of onion podi dosa with 100ml sambhar and chutney"/>
  </r>
  <r>
    <n v="55"/>
    <x v="56"/>
    <x v="2"/>
    <s v="Veg"/>
    <d v="1899-12-30T01:30:00"/>
    <n v="75"/>
    <m/>
    <s v="3 no.s of onion podi dosa with 100ml sambhar and chutney"/>
  </r>
  <r>
    <n v="56"/>
    <x v="57"/>
    <x v="1"/>
    <s v="Non-veg"/>
    <d v="1899-12-30T02:00:00"/>
    <n v="150"/>
    <m/>
    <s v="250ml chicken 65"/>
  </r>
  <r>
    <n v="56"/>
    <x v="57"/>
    <x v="2"/>
    <s v="Non-veg"/>
    <d v="1899-12-30T02:00:00"/>
    <n v="150"/>
    <m/>
    <s v="250ml chicken 65"/>
  </r>
  <r>
    <n v="56"/>
    <x v="57"/>
    <x v="0"/>
    <s v="Non-veg"/>
    <d v="1899-12-30T02:00:00"/>
    <n v="150"/>
    <m/>
    <s v="250ml chicken 65"/>
  </r>
  <r>
    <n v="56"/>
    <x v="57"/>
    <x v="3"/>
    <s v="Non-veg"/>
    <d v="1899-12-30T02:00:00"/>
    <n v="150"/>
    <m/>
    <s v="250ml chicken 65"/>
  </r>
  <r>
    <n v="57"/>
    <x v="58"/>
    <x v="0"/>
    <s v="Non-veg"/>
    <d v="1899-12-30T02:00:00"/>
    <n v="190"/>
    <m/>
    <s v="750ml chicken biryani, 1 no.s egg and 100ml raita"/>
  </r>
  <r>
    <n v="57"/>
    <x v="58"/>
    <x v="1"/>
    <s v="Non-veg"/>
    <d v="1899-12-30T02:00:00"/>
    <n v="190"/>
    <m/>
    <s v="750ml chicken biryani, 1 no.s egg and 100ml raita"/>
  </r>
  <r>
    <n v="58"/>
    <x v="59"/>
    <x v="0"/>
    <s v="Non-veg"/>
    <d v="1899-12-30T02:00:00"/>
    <n v="170"/>
    <m/>
    <s v="500ml rice, 250ml chicken curry, 100ml rasam with 1 no.s egg"/>
  </r>
  <r>
    <n v="58"/>
    <x v="59"/>
    <x v="1"/>
    <s v="Non-veg"/>
    <d v="1899-12-30T02:00:00"/>
    <n v="170"/>
    <m/>
    <s v="500ml rice, 250ml chicken curry, 100ml rasam with 1 no.s egg"/>
  </r>
  <r>
    <n v="59"/>
    <x v="60"/>
    <x v="0"/>
    <s v="Non-veg"/>
    <d v="1899-12-30T02:00:00"/>
    <n v="699"/>
    <m/>
    <s v="500ml rice 2 no.s, boiled egg 3 no.s, chicken curry 500ml (6 pieces), fish fry 3 no.s(any fish), prawn thoku 300ml, any sweet 250ml"/>
  </r>
  <r>
    <n v="59"/>
    <x v="61"/>
    <x v="1"/>
    <s v="Non-veg"/>
    <d v="1899-12-30T02:00:00"/>
    <n v="699"/>
    <m/>
    <s v="500ml rice 2 no.s, boiled egg 3 no.s, chicken curry 500ml (6 pieces), fish fry 3 no.s(any fish), prawn thoku 300ml, any sweet 250ml"/>
  </r>
  <r>
    <n v="59"/>
    <x v="62"/>
    <x v="3"/>
    <s v="Non-veg"/>
    <d v="1899-12-30T02:00:00"/>
    <n v="699"/>
    <m/>
    <s v="500ml rice 2 no.s, boiled egg 3 no.s, chicken curry 500ml (6 pieces), fish fry 3 no.s(any fish), prawn thoku 300ml, any sweet 250ml"/>
  </r>
  <r>
    <n v="59"/>
    <x v="63"/>
    <x v="2"/>
    <s v="Non-veg"/>
    <d v="1899-12-30T02:00:00"/>
    <n v="699"/>
    <m/>
    <s v="500ml rice 2 no.s, boiled egg 3 no.s, chicken curry 500ml (6 pieces), fish fry 3 no.s(any fish), prawn thoku 300ml, any sweet 250ml"/>
  </r>
  <r>
    <n v="60"/>
    <x v="64"/>
    <x v="0"/>
    <s v="Beverage"/>
    <d v="1899-12-30T00:30:00"/>
    <n v="80"/>
    <m/>
    <s v="300ml of freshly prepared juice"/>
  </r>
  <r>
    <n v="60"/>
    <x v="64"/>
    <x v="1"/>
    <s v="Beverage"/>
    <d v="1899-12-30T00:30:00"/>
    <n v="80"/>
    <m/>
    <s v="300ml of freshly prepared juice"/>
  </r>
  <r>
    <n v="60"/>
    <x v="64"/>
    <x v="3"/>
    <s v="Beverage"/>
    <d v="1899-12-30T00:30:00"/>
    <n v="80"/>
    <m/>
    <s v="300ml of freshly prepared juice"/>
  </r>
  <r>
    <n v="60"/>
    <x v="64"/>
    <x v="2"/>
    <s v="Beverage"/>
    <d v="1899-12-30T00:30:00"/>
    <n v="80"/>
    <m/>
    <s v="300ml of freshly prepared juice"/>
  </r>
  <r>
    <n v="61"/>
    <x v="65"/>
    <x v="0"/>
    <s v="Veg"/>
    <d v="1899-12-30T01:30:00"/>
    <n v="180"/>
    <m/>
    <s v="250ml of nethili karuvaadu"/>
  </r>
  <r>
    <n v="61"/>
    <x v="65"/>
    <x v="1"/>
    <s v="Veg"/>
    <d v="1899-12-30T01:30:00"/>
    <n v="180"/>
    <m/>
    <s v="250ml of nethili karuvaadu"/>
  </r>
  <r>
    <n v="61"/>
    <x v="65"/>
    <x v="3"/>
    <s v="Veg"/>
    <d v="1899-12-30T01:30:00"/>
    <n v="180"/>
    <m/>
    <s v="250ml of nethili karuvaadu"/>
  </r>
  <r>
    <n v="61"/>
    <x v="65"/>
    <x v="2"/>
    <s v="Veg"/>
    <d v="1899-12-30T01:30:00"/>
    <n v="180"/>
    <m/>
    <s v="250ml of nethili karuvaadu"/>
  </r>
  <r>
    <n v="62"/>
    <x v="66"/>
    <x v="0"/>
    <s v="Veg"/>
    <d v="1899-12-30T01:00:00"/>
    <n v="75"/>
    <m/>
    <s v="4 no.s of bajji with 100ml chutney"/>
  </r>
  <r>
    <n v="62"/>
    <x v="66"/>
    <x v="1"/>
    <s v="Veg"/>
    <d v="1899-12-30T01:00:00"/>
    <n v="75"/>
    <m/>
    <s v="4 no.s of bajji with 100ml chutney"/>
  </r>
  <r>
    <n v="62"/>
    <x v="66"/>
    <x v="3"/>
    <s v="Veg"/>
    <d v="1899-12-30T01:00:00"/>
    <n v="75"/>
    <m/>
    <s v="4 no.s of bajji with 100ml chutney"/>
  </r>
  <r>
    <n v="62"/>
    <x v="66"/>
    <x v="2"/>
    <s v="Veg"/>
    <d v="1899-12-30T01:00:00"/>
    <n v="75"/>
    <m/>
    <s v="4 no.s of bajji with 100ml chutney"/>
  </r>
  <r>
    <n v="63"/>
    <x v="67"/>
    <x v="0"/>
    <s v="Veg"/>
    <d v="1899-12-30T01:00:00"/>
    <n v="75"/>
    <m/>
    <s v="4 no.s of bajji with 100ml chutney"/>
  </r>
  <r>
    <n v="63"/>
    <x v="67"/>
    <x v="1"/>
    <s v="Veg"/>
    <d v="1899-12-30T01:00:00"/>
    <n v="75"/>
    <m/>
    <s v="4 no.s of bajji with 100ml chutney"/>
  </r>
  <r>
    <n v="63"/>
    <x v="67"/>
    <x v="3"/>
    <s v="Veg"/>
    <d v="1899-12-30T01:00:00"/>
    <n v="75"/>
    <m/>
    <s v="4 no.s of bajji with 100ml chutney"/>
  </r>
  <r>
    <n v="63"/>
    <x v="67"/>
    <x v="2"/>
    <s v="Veg"/>
    <d v="1899-12-30T01:00:00"/>
    <n v="75"/>
    <m/>
    <s v="4 no.s of bajji with 100ml chutney"/>
  </r>
  <r>
    <n v="64"/>
    <x v="68"/>
    <x v="0"/>
    <s v="Veg"/>
    <d v="1899-12-30T01:00:00"/>
    <n v="65"/>
    <m/>
    <s v="4 no.s of bajji with 100ml chutney"/>
  </r>
  <r>
    <n v="64"/>
    <x v="68"/>
    <x v="1"/>
    <s v="Veg"/>
    <d v="1899-12-30T01:00:00"/>
    <n v="65"/>
    <m/>
    <s v="4 no.s of bajji with 100ml chutney"/>
  </r>
  <r>
    <n v="64"/>
    <x v="68"/>
    <x v="3"/>
    <s v="Veg"/>
    <d v="1899-12-30T01:00:00"/>
    <n v="65"/>
    <m/>
    <s v="4 no.s of bajji with 100ml chutney"/>
  </r>
  <r>
    <n v="64"/>
    <x v="68"/>
    <x v="2"/>
    <s v="Veg"/>
    <d v="1899-12-30T01:00:00"/>
    <n v="65"/>
    <m/>
    <s v="4 no.s of bajji with 100ml chutney"/>
  </r>
  <r>
    <n v="65"/>
    <x v="69"/>
    <x v="0"/>
    <s v="Veg"/>
    <d v="1899-12-30T01:30:00"/>
    <n v="75"/>
    <m/>
    <s v="250ml of creamy moor kuzhambu made with fresh curd"/>
  </r>
  <r>
    <n v="65"/>
    <x v="69"/>
    <x v="1"/>
    <s v="Veg"/>
    <d v="1899-12-30T01:30:00"/>
    <n v="75"/>
    <m/>
    <s v="250ml of creamy moor kuzhambu made with fresh curd"/>
  </r>
  <r>
    <n v="65"/>
    <x v="69"/>
    <x v="3"/>
    <s v="Veg"/>
    <d v="1899-12-30T01:30:00"/>
    <n v="75"/>
    <m/>
    <s v="250ml of creamy moor kuzhambu made with fresh curd"/>
  </r>
  <r>
    <n v="65"/>
    <x v="69"/>
    <x v="2"/>
    <s v="Veg"/>
    <d v="1899-12-30T01:30:00"/>
    <n v="75"/>
    <m/>
    <s v="250ml of creamy moor kuzhambu made with fresh curd"/>
  </r>
  <r>
    <n v="66"/>
    <x v="70"/>
    <x v="1"/>
    <s v="Veg"/>
    <d v="1899-12-30T01:30:00"/>
    <n v="130"/>
    <m/>
    <s v="14 no.s of small size idlies mixed with aromatic podi"/>
  </r>
  <r>
    <n v="66"/>
    <x v="70"/>
    <x v="2"/>
    <s v="Veg"/>
    <d v="1899-12-30T01:30:00"/>
    <n v="130"/>
    <m/>
    <s v="14 no.s of small size idlies mixed with aromatic podi"/>
  </r>
  <r>
    <n v="66"/>
    <x v="70"/>
    <x v="3"/>
    <s v="Veg"/>
    <d v="1899-12-30T01:30:00"/>
    <n v="130"/>
    <m/>
    <s v="14 no.s of small size idlies mixed with aromatic podi"/>
  </r>
  <r>
    <n v="67"/>
    <x v="71"/>
    <x v="1"/>
    <s v="Veg"/>
    <d v="1899-12-30T01:30:00"/>
    <n v="100"/>
    <m/>
    <s v="4 no.s of aromatic podi idly"/>
  </r>
  <r>
    <n v="67"/>
    <x v="71"/>
    <x v="2"/>
    <s v="Veg"/>
    <d v="1899-12-30T01:30:00"/>
    <n v="100"/>
    <m/>
    <s v="4 no.s of aromatic podi idly"/>
  </r>
  <r>
    <n v="67"/>
    <x v="71"/>
    <x v="3"/>
    <s v="Veg"/>
    <d v="1899-12-30T01:30:00"/>
    <n v="100"/>
    <m/>
    <s v="4 no.s of aromatic podi idly"/>
  </r>
  <r>
    <n v="68"/>
    <x v="72"/>
    <x v="1"/>
    <s v="Beverage"/>
    <d v="1899-12-30T01:00:00"/>
    <n v="70"/>
    <m/>
    <s v="300ml of freshly prepared juice"/>
  </r>
  <r>
    <n v="68"/>
    <x v="72"/>
    <x v="2"/>
    <s v="Beverage"/>
    <d v="1899-12-30T01:00:00"/>
    <n v="70"/>
    <m/>
    <s v="300ml of freshly prepared juice"/>
  </r>
  <r>
    <n v="68"/>
    <x v="72"/>
    <x v="3"/>
    <s v="Beverage"/>
    <d v="1899-12-30T01:00:00"/>
    <n v="70"/>
    <m/>
    <s v="300ml of freshly prepared juice"/>
  </r>
  <r>
    <n v="68"/>
    <x v="72"/>
    <x v="0"/>
    <s v="Beverage"/>
    <d v="1899-12-30T01:00:00"/>
    <n v="70"/>
    <m/>
    <s v="300ml of freshly prepared juice"/>
  </r>
  <r>
    <n v="69"/>
    <x v="73"/>
    <x v="1"/>
    <s v="Veg"/>
    <d v="1899-12-30T01:30:00"/>
    <n v="120"/>
    <m/>
    <s v="500ml of creamy semiya payasam"/>
  </r>
  <r>
    <n v="69"/>
    <x v="73"/>
    <x v="2"/>
    <s v="Veg"/>
    <d v="1899-12-30T01:30:00"/>
    <n v="120"/>
    <m/>
    <s v="500ml of creamy semiya payasam"/>
  </r>
  <r>
    <n v="69"/>
    <x v="73"/>
    <x v="3"/>
    <s v="Veg"/>
    <d v="1899-12-30T01:30:00"/>
    <n v="120"/>
    <m/>
    <s v="500ml of creamy semiya payasam"/>
  </r>
  <r>
    <n v="69"/>
    <x v="73"/>
    <x v="0"/>
    <s v="Veg"/>
    <d v="1899-12-30T01:30:00"/>
    <n v="120"/>
    <m/>
    <s v="500ml of creamy semiya payasam"/>
  </r>
  <r>
    <n v="70"/>
    <x v="74"/>
    <x v="0"/>
    <s v="Non-veg"/>
    <d v="1899-12-30T01:30:00"/>
    <n v="190"/>
    <m/>
    <s v="500ml of prawn kurma"/>
  </r>
  <r>
    <n v="70"/>
    <x v="74"/>
    <x v="1"/>
    <s v="Non-veg"/>
    <d v="1899-12-30T01:30:00"/>
    <n v="190"/>
    <m/>
    <s v="500ml of prawn kurma"/>
  </r>
  <r>
    <n v="71"/>
    <x v="75"/>
    <x v="0"/>
    <s v="Non-veg"/>
    <d v="1899-12-30T01:30:00"/>
    <n v="180"/>
    <m/>
    <s v="4 no.s of chappathi with 250ml of chicken gravy with pieces"/>
  </r>
  <r>
    <n v="71"/>
    <x v="75"/>
    <x v="1"/>
    <s v="Non-veg"/>
    <d v="1899-12-30T01:30:00"/>
    <n v="180"/>
    <m/>
    <s v="4 no.s of chappathi with 250ml of chicken gravy with pieces"/>
  </r>
  <r>
    <n v="71"/>
    <x v="75"/>
    <x v="2"/>
    <s v="Non-veg"/>
    <d v="1899-12-30T01:30:00"/>
    <n v="180"/>
    <m/>
    <s v="4 no.s of chappathi with 250ml of chicken gravy with pieces"/>
  </r>
  <r>
    <n v="72"/>
    <x v="76"/>
    <x v="0"/>
    <s v="Veg"/>
    <d v="1899-12-30T01:30:00"/>
    <n v="100"/>
    <m/>
    <s v="500ml of rasam made with neem flower"/>
  </r>
  <r>
    <n v="72"/>
    <x v="76"/>
    <x v="1"/>
    <s v="Veg"/>
    <d v="1899-12-30T01:30:00"/>
    <n v="100"/>
    <m/>
    <s v="500ml of rasam made with neem flower"/>
  </r>
  <r>
    <n v="73"/>
    <x v="77"/>
    <x v="0"/>
    <s v="Veg"/>
    <d v="1899-12-30T01:30:00"/>
    <n v="80"/>
    <m/>
    <s v="250ml of vazhakkai varuval"/>
  </r>
  <r>
    <n v="73"/>
    <x v="77"/>
    <x v="1"/>
    <s v="Veg"/>
    <d v="1899-12-30T01:30:00"/>
    <n v="80"/>
    <m/>
    <s v="250ml of vazhakkai varuval"/>
  </r>
  <r>
    <n v="74"/>
    <x v="78"/>
    <x v="0"/>
    <s v="Veg"/>
    <d v="1899-12-30T01:30:00"/>
    <n v="140"/>
    <m/>
    <s v="500ml of mixed vegetable sambar"/>
  </r>
  <r>
    <n v="74"/>
    <x v="78"/>
    <x v="1"/>
    <s v="Veg"/>
    <d v="1899-12-30T01:30:00"/>
    <n v="140"/>
    <m/>
    <s v="500ml of mixed vegetable sambar"/>
  </r>
  <r>
    <n v="75"/>
    <x v="79"/>
    <x v="0"/>
    <s v="Veg"/>
    <d v="1899-12-30T01:30:00"/>
    <n v="90"/>
    <m/>
    <s v="250ml of paruppu mixed with nei"/>
  </r>
  <r>
    <n v="75"/>
    <x v="79"/>
    <x v="1"/>
    <s v="Veg"/>
    <d v="1899-12-30T01:30:00"/>
    <n v="90"/>
    <m/>
    <s v="250ml of paruppu mixed with nei"/>
  </r>
  <r>
    <n v="76"/>
    <x v="80"/>
    <x v="0"/>
    <s v="Veg"/>
    <d v="1899-12-30T01:30:00"/>
    <n v="130"/>
    <m/>
    <s v="500ml of paruppu payasam"/>
  </r>
  <r>
    <n v="76"/>
    <x v="80"/>
    <x v="1"/>
    <s v="Veg"/>
    <d v="1899-12-30T01:30:00"/>
    <n v="130"/>
    <m/>
    <s v="500ml of paruppu payasam"/>
  </r>
  <r>
    <n v="76"/>
    <x v="80"/>
    <x v="3"/>
    <s v="Veg"/>
    <d v="1899-12-30T01:30:00"/>
    <n v="130"/>
    <m/>
    <s v="500ml of paruppu payasam"/>
  </r>
  <r>
    <n v="77"/>
    <x v="81"/>
    <x v="0"/>
    <s v="Non-veg"/>
    <d v="1899-12-30T02:00:00"/>
    <n v="290"/>
    <m/>
    <s v="750ml of traditional seeraga samba mutton biryani with one egg and raita"/>
  </r>
  <r>
    <n v="77"/>
    <x v="81"/>
    <x v="1"/>
    <s v="Non-veg"/>
    <d v="1899-12-30T02:00:00"/>
    <n v="290"/>
    <m/>
    <s v="750ml of traditional seeraga samba mutton biryani with one egg and raita"/>
  </r>
  <r>
    <n v="78"/>
    <x v="82"/>
    <x v="0"/>
    <s v="Veg"/>
    <d v="1899-12-30T01:30:00"/>
    <n v="95"/>
    <m/>
    <s v="500ml rice with 250ml sambar and 100ml poriyal"/>
  </r>
  <r>
    <n v="78"/>
    <x v="82"/>
    <x v="1"/>
    <s v="Veg"/>
    <d v="1899-12-30T01:30:00"/>
    <n v="95"/>
    <m/>
    <s v="500ml rice with 250ml sambar and 100ml poriyal"/>
  </r>
  <r>
    <n v="79"/>
    <x v="83"/>
    <x v="0"/>
    <s v="Veg"/>
    <d v="1899-12-30T01:30:00"/>
    <n v="105"/>
    <m/>
    <s v="250ml of lemon rice and 250ml of curd rice with 100ml poriyal"/>
  </r>
  <r>
    <n v="79"/>
    <x v="83"/>
    <x v="1"/>
    <s v="Veg"/>
    <d v="1899-12-30T01:30:00"/>
    <n v="105"/>
    <m/>
    <s v="250ml of lemon rice and 250ml of curd rice with 100ml poriyal"/>
  </r>
  <r>
    <n v="80"/>
    <x v="84"/>
    <x v="0"/>
    <s v="Veg"/>
    <d v="1899-12-30T01:30:00"/>
    <n v="105"/>
    <m/>
    <s v="250ml of puliogare rice and 250ml of curd rice with 100ml poriyal"/>
  </r>
  <r>
    <n v="80"/>
    <x v="84"/>
    <x v="1"/>
    <s v="Veg"/>
    <d v="1899-12-30T01:30:00"/>
    <n v="105"/>
    <m/>
    <s v="250ml of puliogare rice and 250ml of curd rice with 100ml poriyal"/>
  </r>
  <r>
    <n v="81"/>
    <x v="85"/>
    <x v="0"/>
    <s v="Non-veg"/>
    <d v="1899-12-30T01:30:00"/>
    <n v="80"/>
    <m/>
    <s v="250ml of egg podimas"/>
  </r>
  <r>
    <n v="81"/>
    <x v="85"/>
    <x v="1"/>
    <s v="Non-veg"/>
    <d v="1899-12-30T01:30:00"/>
    <n v="80"/>
    <m/>
    <s v="250ml of egg podimas"/>
  </r>
  <r>
    <n v="82"/>
    <x v="86"/>
    <x v="0"/>
    <s v="Veg"/>
    <d v="1899-12-30T01:30:00"/>
    <n v="80"/>
    <m/>
    <s v="250ml of keerai kootu"/>
  </r>
  <r>
    <n v="83"/>
    <x v="87"/>
    <x v="0"/>
    <s v="Veg"/>
    <d v="1899-12-30T01:30:00"/>
    <n v="120"/>
    <m/>
    <s v="500ml of any keerai kadayal"/>
  </r>
  <r>
    <n v="84"/>
    <x v="88"/>
    <x v="0"/>
    <s v="Non-veg"/>
    <d v="1899-12-30T02:00:00"/>
    <n v="699"/>
    <m/>
    <s v="4 no.s of 500ml rice, 750ml chicken curry, 500ml of hicken 65, 4 no.s egg, 250ml sweet, 250ml rasam"/>
  </r>
  <r>
    <n v="84"/>
    <x v="88"/>
    <x v="1"/>
    <s v="Non-veg"/>
    <d v="1899-12-30T02:00:00"/>
    <n v="699"/>
    <m/>
    <s v="4 no.s of 500ml rice, 750ml chicken curry, 500ml of hicken 65, 4 no.s egg, 250ml sweet, 250ml rasam"/>
  </r>
  <r>
    <n v="85"/>
    <x v="89"/>
    <x v="0"/>
    <s v="Non-veg"/>
    <d v="1899-12-30T01:30:00"/>
    <n v="280"/>
    <m/>
    <s v="250ml of muttom thokku"/>
  </r>
  <r>
    <n v="85"/>
    <x v="89"/>
    <x v="1"/>
    <s v="Non-veg"/>
    <d v="1899-12-30T01:30:00"/>
    <n v="280"/>
    <m/>
    <s v="250ml of muttom thokku"/>
  </r>
  <r>
    <n v="86"/>
    <x v="90"/>
    <x v="0"/>
    <s v="Veg"/>
    <d v="1899-12-30T00:50:00"/>
    <n v="220"/>
    <m/>
    <s v="300ml veg biryai, 2 no.s chappathi, 150ml mixed veg curry, 150ml gobi manchurian gulab jamun 1 no.s"/>
  </r>
  <r>
    <n v="86"/>
    <x v="90"/>
    <x v="1"/>
    <s v="Veg"/>
    <d v="1899-12-30T00:50:00"/>
    <n v="221"/>
    <m/>
    <s v="300ml veg biryai, 2 no.s chappathi, 150ml mixed veg curry, 150ml gobi manchurian gulab jamun 1 no.s"/>
  </r>
  <r>
    <n v="87"/>
    <x v="91"/>
    <x v="1"/>
    <s v="Non-veg"/>
    <d v="1899-12-30T01:30:00"/>
    <n v="170"/>
    <m/>
    <s v="Kal dosai with chicken curry"/>
  </r>
  <r>
    <n v="87"/>
    <x v="91"/>
    <x v="3"/>
    <s v="Non-veg"/>
    <d v="1899-12-30T01:30:00"/>
    <n v="170"/>
    <m/>
    <s v="Kal dosai with chicken curry"/>
  </r>
  <r>
    <n v="87"/>
    <x v="91"/>
    <x v="0"/>
    <s v="Non-veg"/>
    <d v="1899-12-30T01:30:00"/>
    <n v="170"/>
    <m/>
    <s v="Kal dosai with chicken curry"/>
  </r>
  <r>
    <n v="88"/>
    <x v="92"/>
    <x v="0"/>
    <s v="Non-veg"/>
    <d v="1899-12-30T01:30:00"/>
    <n v="110"/>
    <m/>
    <s v="Rice with rasam and egg fry"/>
  </r>
  <r>
    <n v="88"/>
    <x v="92"/>
    <x v="1"/>
    <s v="Non-veg"/>
    <d v="1899-12-30T01:30:00"/>
    <n v="110"/>
    <m/>
    <s v="Rice with rasam and egg fry"/>
  </r>
  <r>
    <n v="89"/>
    <x v="93"/>
    <x v="0"/>
    <s v="Non-veg"/>
    <d v="1899-12-30T01:30:00"/>
    <n v="120"/>
    <m/>
    <s v="500ml tamarind rice with 1 no.s egg fry"/>
  </r>
  <r>
    <n v="89"/>
    <x v="93"/>
    <x v="1"/>
    <s v="Non-veg"/>
    <d v="1899-12-30T01:30:00"/>
    <n v="120"/>
    <m/>
    <s v="500ml tamarind rice with 1 no.s egg fry"/>
  </r>
  <r>
    <n v="90"/>
    <x v="94"/>
    <x v="0"/>
    <s v="Non-veg"/>
    <d v="1899-12-30T01:30:00"/>
    <n v="140"/>
    <m/>
    <s v="500ml rice with 250ml smabar and 2 no.s egg fry"/>
  </r>
  <r>
    <n v="90"/>
    <x v="94"/>
    <x v="1"/>
    <s v="Non-veg"/>
    <d v="1899-12-30T01:30:00"/>
    <n v="140"/>
    <m/>
    <s v="500ml rice with 250ml smabar and 2 no.s egg fry"/>
  </r>
  <r>
    <n v="91"/>
    <x v="95"/>
    <x v="0"/>
    <s v="Veg"/>
    <d v="1899-12-30T01:30:00"/>
    <n v="190"/>
    <m/>
    <s v="750ml mushroom biryani 100ml raita"/>
  </r>
  <r>
    <n v="91"/>
    <x v="95"/>
    <x v="1"/>
    <s v="Veg"/>
    <d v="1899-12-30T01:30:00"/>
    <n v="190"/>
    <m/>
    <s v="750ml mushroom biryani 100ml raita"/>
  </r>
  <r>
    <n v="92"/>
    <x v="96"/>
    <x v="0"/>
    <s v="Non-veg"/>
    <d v="1899-12-30T01:30:00"/>
    <n v="250"/>
    <m/>
    <s v="750ml rice, 250ml mutton kuzhambu, 100ml mutton chukka, 100ml rasam, 1 no.s egg fry"/>
  </r>
  <r>
    <n v="92"/>
    <x v="96"/>
    <x v="1"/>
    <s v="Non-veg"/>
    <d v="1899-12-30T01:30:00"/>
    <n v="250"/>
    <m/>
    <s v="750ml rice, 250ml mutton kuzhambu, 100ml mutton chukka, 100ml rasam, 1 no.s egg fry"/>
  </r>
  <r>
    <n v="92"/>
    <x v="96"/>
    <x v="3"/>
    <s v="Non-veg"/>
    <d v="1899-12-30T01:30:00"/>
    <n v="250"/>
    <m/>
    <s v="750ml rice, 250ml mutton kuzhambu, 100ml mutton chukka, 100ml rasam, 1 no.s egg fry"/>
  </r>
  <r>
    <n v="93"/>
    <x v="97"/>
    <x v="2"/>
    <s v="Veg"/>
    <d v="1899-12-30T01:00:00"/>
    <n v="140"/>
    <m/>
    <s v="20 no.s mini idly serves with 500ml sambar and ghee"/>
  </r>
  <r>
    <n v="93"/>
    <x v="97"/>
    <x v="1"/>
    <s v="Veg"/>
    <d v="1899-12-30T01:00:00"/>
    <n v="140"/>
    <m/>
    <s v="20 no.s mini idly serves with 500ml sambar and ghee"/>
  </r>
  <r>
    <n v="94"/>
    <x v="98"/>
    <x v="3"/>
    <s v="Non-veg"/>
    <d v="1899-12-30T01:00:00"/>
    <n v="180"/>
    <m/>
    <s v="5 no.s of poori with 250ml chicken kuzhambu"/>
  </r>
  <r>
    <n v="94"/>
    <x v="98"/>
    <x v="1"/>
    <s v="Non-veg"/>
    <d v="1899-12-30T01:00:00"/>
    <n v="180"/>
    <m/>
    <s v="5 no.s of poori with 250ml chicken kuzhambu"/>
  </r>
  <r>
    <n v="95"/>
    <x v="99"/>
    <x v="3"/>
    <s v="Non-veg"/>
    <d v="1899-12-30T01:30:00"/>
    <n v="150"/>
    <m/>
    <s v="4 no.s of chappathi with 250ml egg thokku"/>
  </r>
  <r>
    <n v="95"/>
    <x v="99"/>
    <x v="1"/>
    <s v="Non-veg"/>
    <d v="1899-12-30T01:30:00"/>
    <n v="150"/>
    <m/>
    <s v="4 no.s of chappathi with 250ml egg thokku"/>
  </r>
  <r>
    <n v="95"/>
    <x v="99"/>
    <x v="0"/>
    <s v="Non-veg"/>
    <d v="1899-12-30T01:30:00"/>
    <n v="150"/>
    <m/>
    <s v="4 no.s of chappathi with 250ml egg thokku"/>
  </r>
  <r>
    <n v="96"/>
    <x v="100"/>
    <x v="0"/>
    <s v="Veg"/>
    <d v="1899-12-30T01:30:00"/>
    <n v="190"/>
    <m/>
    <s v="750ml mushroom biryani with 100ml raita"/>
  </r>
  <r>
    <n v="96"/>
    <x v="100"/>
    <x v="1"/>
    <s v="Veg"/>
    <d v="1899-12-30T01:30:00"/>
    <n v="190"/>
    <m/>
    <s v="750ml mushroom biryani with 100ml raita"/>
  </r>
  <r>
    <n v="97"/>
    <x v="101"/>
    <x v="0"/>
    <s v="Non-veg"/>
    <d v="1899-12-30T00:45:00"/>
    <n v="150"/>
    <m/>
    <s v="500ml rice with 250ml sambar and 100ml chicken 65 1 no.s egg"/>
  </r>
  <r>
    <n v="97"/>
    <x v="102"/>
    <x v="1"/>
    <s v="Non-veg"/>
    <d v="1899-12-30T00:45:00"/>
    <n v="150"/>
    <m/>
    <s v="500ml rice with 250ml sambar and 100ml chicken 65 1 no.s egg"/>
  </r>
  <r>
    <n v="98"/>
    <x v="103"/>
    <x v="0"/>
    <s v="Veg"/>
    <d v="1899-12-30T01:30:00"/>
    <n v="110"/>
    <m/>
    <s v="250ml of rava kesari"/>
  </r>
  <r>
    <n v="98"/>
    <x v="103"/>
    <x v="3"/>
    <s v="Veg"/>
    <d v="1899-12-30T01:30:00"/>
    <n v="110"/>
    <m/>
    <s v="250ml of rava kesari"/>
  </r>
  <r>
    <n v="98"/>
    <x v="103"/>
    <x v="1"/>
    <s v="Veg"/>
    <d v="1899-12-30T01:30:00"/>
    <n v="110"/>
    <m/>
    <s v="250ml of rava kesari"/>
  </r>
  <r>
    <n v="99"/>
    <x v="104"/>
    <x v="0"/>
    <s v="Non-veg"/>
    <d v="1899-12-30T01:00:00"/>
    <n v="170"/>
    <m/>
    <s v="500ml prawn kadaai rice with egg omelette"/>
  </r>
  <r>
    <n v="99"/>
    <x v="104"/>
    <x v="1"/>
    <s v="Non-veg"/>
    <d v="1899-12-30T01:00:00"/>
    <n v="170"/>
    <m/>
    <s v="500ml prawn kadaai rice with egg omelette"/>
  </r>
  <r>
    <n v="100"/>
    <x v="105"/>
    <x v="2"/>
    <s v="Veg"/>
    <d v="1899-12-30T00:50:00"/>
    <n v="110"/>
    <m/>
    <s v="3 no.s wheat dosai with onion chutney"/>
  </r>
  <r>
    <n v="100"/>
    <x v="105"/>
    <x v="1"/>
    <s v="Veg"/>
    <d v="1899-12-30T00:50:00"/>
    <n v="110"/>
    <m/>
    <s v="3 no.s wheat dosai with onion chutney"/>
  </r>
  <r>
    <n v="101"/>
    <x v="106"/>
    <x v="0"/>
    <s v="Veg"/>
    <d v="1899-12-30T01:30:00"/>
    <n v="140"/>
    <m/>
    <s v="500ml of kanji with 100ml thovayal"/>
  </r>
  <r>
    <n v="101"/>
    <x v="106"/>
    <x v="1"/>
    <s v="Veg"/>
    <d v="1899-12-30T01:30:00"/>
    <n v="140"/>
    <m/>
    <s v="500ml of kanji with 100ml thovayal"/>
  </r>
  <r>
    <n v="102"/>
    <x v="107"/>
    <x v="0"/>
    <s v="Non-veg"/>
    <d v="1899-12-30T01:30:00"/>
    <n v="180"/>
    <m/>
    <s v="250ml of pepper chicken (with bones)"/>
  </r>
  <r>
    <n v="102"/>
    <x v="107"/>
    <x v="1"/>
    <s v="Non-veg"/>
    <d v="1899-12-30T01:30:00"/>
    <n v="180"/>
    <m/>
    <s v="250ml of pepper chicken (with bones)"/>
  </r>
  <r>
    <n v="103"/>
    <x v="108"/>
    <x v="0"/>
    <s v="Non-veg"/>
    <d v="1899-12-30T01:30:00"/>
    <n v="260"/>
    <m/>
    <s v="15 no.s of big size juicy prawns with 100ml tomto sauce"/>
  </r>
  <r>
    <n v="103"/>
    <x v="108"/>
    <x v="3"/>
    <s v="Non-veg"/>
    <d v="1899-12-30T01:30:00"/>
    <n v="260"/>
    <m/>
    <s v="15 no.s of big size juicy prawns with 100ml tomto sauce"/>
  </r>
  <r>
    <n v="103"/>
    <x v="108"/>
    <x v="1"/>
    <s v="Non-veg"/>
    <d v="1899-12-30T01:30:00"/>
    <n v="260"/>
    <m/>
    <s v="15 no.s of big size juicy prawns with 100ml tomto sauce"/>
  </r>
  <r>
    <n v="104"/>
    <x v="109"/>
    <x v="1"/>
    <s v="Non-veg"/>
    <d v="1899-12-30T01:30:00"/>
    <n v="180"/>
    <m/>
    <s v="Egg Chappathi with plain gravy"/>
  </r>
  <r>
    <n v="104"/>
    <x v="109"/>
    <x v="0"/>
    <s v="Non-veg"/>
    <d v="1899-12-30T01:30:00"/>
    <n v="180"/>
    <m/>
    <s v="Egg Chappathi with plain gravy"/>
  </r>
  <r>
    <n v="105"/>
    <x v="110"/>
    <x v="1"/>
    <s v="Non-veg"/>
    <d v="1899-12-30T01:30:00"/>
    <n v="200"/>
    <m/>
    <s v="500ml of chicken kuzhambu (6 to 7 pieces with bones)"/>
  </r>
  <r>
    <n v="105"/>
    <x v="110"/>
    <x v="0"/>
    <s v="Non-veg"/>
    <d v="1899-12-30T01:30:00"/>
    <n v="200"/>
    <m/>
    <s v="500ml of chicken kuzhambu (6 to 7 pieces with bones)"/>
  </r>
  <r>
    <n v="106"/>
    <x v="111"/>
    <x v="1"/>
    <s v="Non-veg"/>
    <d v="1899-12-30T01:30:00"/>
    <n v="100"/>
    <m/>
    <s v="500ml of odachi vitta muttai kuzhambu (2 no.s egg)"/>
  </r>
  <r>
    <n v="106"/>
    <x v="111"/>
    <x v="0"/>
    <s v="Non-veg"/>
    <d v="1899-12-30T01:30:00"/>
    <n v="100"/>
    <m/>
    <s v="500ml of odachi vitta muttai kuzhambu (2 no.s egg)"/>
  </r>
  <r>
    <n v="107"/>
    <x v="112"/>
    <x v="1"/>
    <s v="Veg"/>
    <d v="1899-12-30T01:00:00"/>
    <n v="130"/>
    <m/>
    <s v="5 no.s of rava idli with 250ml chutney"/>
  </r>
  <r>
    <n v="107"/>
    <x v="112"/>
    <x v="2"/>
    <s v="Veg"/>
    <d v="1899-12-30T01:00:00"/>
    <n v="130"/>
    <m/>
    <s v="5 no.s of rava idli with 250ml chutney"/>
  </r>
  <r>
    <n v="108"/>
    <x v="113"/>
    <x v="1"/>
    <s v="Veg"/>
    <d v="1899-12-30T01:30:00"/>
    <n v="130"/>
    <m/>
    <s v="5 no.s of kanchipuram idli with 250ml kara chutney"/>
  </r>
  <r>
    <n v="108"/>
    <x v="113"/>
    <x v="2"/>
    <s v="Veg"/>
    <d v="1899-12-30T01:30:00"/>
    <n v="130"/>
    <m/>
    <s v="5 no.s of kanchipuram idli with 250ml kara chutney"/>
  </r>
  <r>
    <n v="109"/>
    <x v="114"/>
    <x v="0"/>
    <s v="Non-veg"/>
    <d v="1899-12-30T01:30:00"/>
    <n v="330"/>
    <m/>
    <s v="750ml of mutton kuzhambu with bones (7 pieces)"/>
  </r>
  <r>
    <n v="109"/>
    <x v="114"/>
    <x v="1"/>
    <s v="Non-veg"/>
    <d v="1899-12-30T01:30:00"/>
    <n v="330"/>
    <m/>
    <s v="750ml of mutton kuzhambu with bones (7 pieces)"/>
  </r>
  <r>
    <n v="110"/>
    <x v="115"/>
    <x v="0"/>
    <s v="Non-veg"/>
    <d v="1899-12-30T01:30:00"/>
    <n v="190"/>
    <m/>
    <s v="250ml of vanjaram karuvadu thokku"/>
  </r>
  <r>
    <n v="110"/>
    <x v="115"/>
    <x v="3"/>
    <s v="Non-veg"/>
    <d v="1899-12-30T01:30:00"/>
    <n v="190"/>
    <m/>
    <s v="250ml of vanjaram karuvadu thokku"/>
  </r>
  <r>
    <n v="110"/>
    <x v="115"/>
    <x v="1"/>
    <s v="Non-veg"/>
    <d v="1899-12-30T01:30:00"/>
    <n v="190"/>
    <m/>
    <s v="250ml of vanjaram karuvadu thokku"/>
  </r>
  <r>
    <n v="111"/>
    <x v="116"/>
    <x v="0"/>
    <s v="Veg"/>
    <d v="1899-12-30T01:30:00"/>
    <n v="160"/>
    <m/>
    <s v="750ml white pulav with 100ml raitha"/>
  </r>
  <r>
    <n v="111"/>
    <x v="116"/>
    <x v="1"/>
    <s v="Veg"/>
    <d v="1899-12-30T01:30:00"/>
    <n v="160"/>
    <m/>
    <s v="750ml white pulav with 100ml raitha"/>
  </r>
  <r>
    <n v="112"/>
    <x v="117"/>
    <x v="0"/>
    <s v="Non-veg"/>
    <d v="1899-12-30T01:30:00"/>
    <n v="180"/>
    <m/>
    <s v="250ml of dry nethili karuvadu thokku"/>
  </r>
  <r>
    <n v="112"/>
    <x v="117"/>
    <x v="1"/>
    <s v="Non-veg"/>
    <d v="1899-12-30T01:30:00"/>
    <n v="180"/>
    <m/>
    <s v="250ml of dry nethili karuvadu thokku"/>
  </r>
  <r>
    <n v="113"/>
    <x v="118"/>
    <x v="0"/>
    <s v="Veg"/>
    <d v="1899-12-30T01:30:00"/>
    <n v="250"/>
    <m/>
    <s v="veg biryani 250ml, rasam rice 250ml, curd rice 250ml,  varuval 100ml, beetroot poriyal 100ml, gobi 65 100ml"/>
  </r>
  <r>
    <n v="114"/>
    <x v="119"/>
    <x v="0"/>
    <s v="Beverage"/>
    <d v="1899-12-30T00:45:00"/>
    <n v="70"/>
    <m/>
    <s v="300ml of freshly prepared juice"/>
  </r>
  <r>
    <n v="114"/>
    <x v="119"/>
    <x v="2"/>
    <s v="Beverage"/>
    <d v="1899-12-30T00:45:00"/>
    <n v="70"/>
    <m/>
    <s v="300ml of freshly prepared juice"/>
  </r>
  <r>
    <n v="114"/>
    <x v="119"/>
    <x v="3"/>
    <s v="Beverage"/>
    <d v="1899-12-30T00:45:00"/>
    <n v="70"/>
    <m/>
    <s v="300ml of freshly prepared juic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
  <r>
    <s v="CS-250331-0219"/>
    <x v="0"/>
    <s v="Tuesday"/>
    <x v="0"/>
    <s v="SUBSCRIPTION"/>
    <x v="0"/>
    <n v="1"/>
    <n v="129"/>
    <s v="Veg"/>
    <d v="2025-04-01T00:00:00"/>
    <x v="0"/>
  </r>
  <r>
    <s v="CS-250331-0242"/>
    <x v="0"/>
    <s v="Tuesday"/>
    <x v="1"/>
    <s v="SUBSCRIPTION"/>
    <x v="1"/>
    <n v="1"/>
    <n v="117"/>
    <s v="Veg"/>
    <d v="2025-04-01T00:00:00"/>
    <x v="0"/>
  </r>
  <r>
    <s v="CS-250331-0232"/>
    <x v="0"/>
    <s v="Tuesday"/>
    <x v="1"/>
    <s v="SUBSCRIPTION"/>
    <x v="2"/>
    <n v="1"/>
    <n v="99"/>
    <s v="Veg"/>
    <d v="2025-04-01T00:00:00"/>
    <x v="0"/>
  </r>
  <r>
    <s v="CS-250331-0246"/>
    <x v="0"/>
    <s v="Tuesday"/>
    <x v="1"/>
    <s v="SUBSCRIPTION"/>
    <x v="3"/>
    <n v="1"/>
    <n v="129"/>
    <s v="Non-veg"/>
    <d v="2025-04-01T00:00:00"/>
    <x v="0"/>
  </r>
  <r>
    <s v="CS-250331-0236"/>
    <x v="0"/>
    <s v="Tuesday"/>
    <x v="2"/>
    <s v="SUBSCRIPTION"/>
    <x v="4"/>
    <n v="2"/>
    <n v="198"/>
    <s v="Veg"/>
    <d v="2025-04-01T00:00:00"/>
    <x v="0"/>
  </r>
  <r>
    <s v="CS-250331-0257"/>
    <x v="0"/>
    <s v="Tuesday"/>
    <x v="2"/>
    <s v="SUBSCRIPTION"/>
    <x v="4"/>
    <n v="1"/>
    <n v="99"/>
    <s v="Veg"/>
    <d v="2025-04-01T00:00:00"/>
    <x v="0"/>
  </r>
  <r>
    <s v="CS-250401-0026"/>
    <x v="0"/>
    <s v="Tuesday"/>
    <x v="0"/>
    <s v="REGULAR"/>
    <x v="5"/>
    <n v="1"/>
    <n v="65"/>
    <s v="Veg"/>
    <d v="2025-04-01T00:00:00"/>
    <x v="1"/>
  </r>
  <r>
    <s v="CS-250401-0074"/>
    <x v="0"/>
    <s v="Tuesday"/>
    <x v="0"/>
    <s v="REGULAR"/>
    <x v="6"/>
    <n v="1"/>
    <n v="290"/>
    <s v="Veg"/>
    <d v="2025-04-01T00:00:00"/>
    <x v="1"/>
  </r>
  <r>
    <s v="CS-250401-0087"/>
    <x v="0"/>
    <s v="Tuesday"/>
    <x v="0"/>
    <s v="REGULAR"/>
    <x v="7"/>
    <n v="1"/>
    <n v="95"/>
    <s v="Veg"/>
    <d v="2025-04-01T00:00:00"/>
    <x v="1"/>
  </r>
  <r>
    <s v="CS-250401-0136"/>
    <x v="0"/>
    <s v="Tuesday"/>
    <x v="0"/>
    <s v="REGULAR"/>
    <x v="8"/>
    <n v="1"/>
    <n v="240"/>
    <s v="Veg"/>
    <d v="2025-04-01T00:00:00"/>
    <x v="1"/>
  </r>
  <r>
    <m/>
    <x v="1"/>
    <m/>
    <x v="3"/>
    <m/>
    <x v="9"/>
    <n v="1"/>
    <m/>
    <s v="Veg"/>
    <d v="2025-04-01T00:00:00"/>
    <x v="1"/>
  </r>
  <r>
    <m/>
    <x v="1"/>
    <m/>
    <x v="3"/>
    <m/>
    <x v="7"/>
    <n v="1"/>
    <m/>
    <s v="Veg"/>
    <d v="2025-04-01T00:00:00"/>
    <x v="1"/>
  </r>
  <r>
    <s v="CS-250401-0142"/>
    <x v="0"/>
    <s v="Tuesday"/>
    <x v="0"/>
    <s v="REGULAR"/>
    <x v="7"/>
    <n v="1"/>
    <n v="95"/>
    <s v="Veg"/>
    <d v="2025-04-01T00:00:00"/>
    <x v="1"/>
  </r>
  <r>
    <s v="CS-250401-0174"/>
    <x v="2"/>
    <s v="Wednesday"/>
    <x v="2"/>
    <s v="SUBSCRIPTION"/>
    <x v="10"/>
    <n v="1"/>
    <n v="117"/>
    <s v="Veg"/>
    <d v="2025-04-02T00:00:00"/>
    <x v="0"/>
  </r>
  <r>
    <s v="CS-250401-0177"/>
    <x v="2"/>
    <s v="Wednesday"/>
    <x v="1"/>
    <s v="SUBSCRIPTION"/>
    <x v="11"/>
    <n v="1"/>
    <n v="99"/>
    <s v="Non-veg"/>
    <d v="2025-04-02T00:00:00"/>
    <x v="0"/>
  </r>
  <r>
    <s v="CS-250401-0183"/>
    <x v="2"/>
    <s v="Wednesday"/>
    <x v="0"/>
    <s v="SUBSCRIPTION"/>
    <x v="12"/>
    <n v="1"/>
    <n v="129"/>
    <s v="Veg"/>
    <d v="2025-04-02T00:00:00"/>
    <x v="0"/>
  </r>
  <r>
    <s v="CS-250401-0189"/>
    <x v="2"/>
    <s v="Wednesday"/>
    <x v="1"/>
    <s v="SUBSCRIPTION"/>
    <x v="13"/>
    <n v="1"/>
    <n v="112"/>
    <s v="Non-veg"/>
    <d v="2025-04-02T00:00:00"/>
    <x v="0"/>
  </r>
  <r>
    <s v="CS-250401-0193"/>
    <x v="2"/>
    <s v="Wednesday"/>
    <x v="0"/>
    <s v="SUBSCRIPTION"/>
    <x v="14"/>
    <n v="1"/>
    <n v="179"/>
    <s v="Non-veg"/>
    <d v="2025-04-02T00:00:00"/>
    <x v="0"/>
  </r>
  <r>
    <s v="CS-250401-0192"/>
    <x v="2"/>
    <s v="Wednesday"/>
    <x v="2"/>
    <s v="SUBSCRIPTION"/>
    <x v="15"/>
    <n v="2"/>
    <n v="158"/>
    <s v="Veg"/>
    <d v="2025-04-02T00:00:00"/>
    <x v="0"/>
  </r>
  <r>
    <s v="CS-250401-0208"/>
    <x v="2"/>
    <s v="Wednesday"/>
    <x v="0"/>
    <s v="SUBSCRIPTION"/>
    <x v="14"/>
    <n v="1"/>
    <n v="179"/>
    <s v="Non-veg"/>
    <d v="2025-04-02T00:00:00"/>
    <x v="0"/>
  </r>
  <r>
    <s v="CS-250401-0206"/>
    <x v="2"/>
    <s v="Wednesday"/>
    <x v="2"/>
    <s v="SUBSCRIPTION"/>
    <x v="16"/>
    <n v="1"/>
    <n v="129"/>
    <s v="Non-veg"/>
    <d v="2025-04-02T00:00:00"/>
    <x v="0"/>
  </r>
  <r>
    <s v="CS-250401-0201"/>
    <x v="2"/>
    <s v="Wednesday"/>
    <x v="1"/>
    <s v="SUBSCRIPTION"/>
    <x v="11"/>
    <n v="1"/>
    <n v="99"/>
    <s v="Non-veg"/>
    <d v="2025-04-02T00:00:00"/>
    <x v="0"/>
  </r>
  <r>
    <s v="CS-250401-0210"/>
    <x v="2"/>
    <s v="Wednesday"/>
    <x v="0"/>
    <s v="SUBSCRIPTION"/>
    <x v="14"/>
    <n v="1"/>
    <n v="179"/>
    <s v="Non-veg"/>
    <d v="2025-04-02T00:00:00"/>
    <x v="0"/>
  </r>
  <r>
    <s v="CS-250402-0025"/>
    <x v="2"/>
    <s v="Wednesday"/>
    <x v="0"/>
    <s v="REGULAR"/>
    <x v="17"/>
    <n v="2"/>
    <n v="280"/>
    <s v="Veg"/>
    <d v="2025-04-02T00:00:00"/>
    <x v="1"/>
  </r>
  <r>
    <s v="CS-250402-0208"/>
    <x v="3"/>
    <s v="Thursday"/>
    <x v="0"/>
    <s v="SUBSCRIPTION"/>
    <x v="18"/>
    <n v="1"/>
    <n v="129"/>
    <s v="Veg"/>
    <d v="2025-04-03T00:00:00"/>
    <x v="0"/>
  </r>
  <r>
    <s v="CS-250402-0219"/>
    <x v="3"/>
    <s v="Thursday"/>
    <x v="1"/>
    <s v="SUBSCRIPTION"/>
    <x v="19"/>
    <n v="1"/>
    <n v="117"/>
    <s v="Veg"/>
    <d v="2025-04-03T00:00:00"/>
    <x v="0"/>
  </r>
  <r>
    <s v="CS-250402-0228"/>
    <x v="3"/>
    <s v="Thursday"/>
    <x v="2"/>
    <s v="SUBSCRIPTION"/>
    <x v="20"/>
    <n v="1"/>
    <n v="79"/>
    <s v="Veg"/>
    <d v="2025-04-03T00:00:00"/>
    <x v="0"/>
  </r>
  <r>
    <s v="CS-250402-0226"/>
    <x v="3"/>
    <s v="Thursday"/>
    <x v="0"/>
    <s v="SUBSCRIPTION"/>
    <x v="21"/>
    <n v="1"/>
    <n v="99"/>
    <s v="Non-veg"/>
    <d v="2025-04-03T00:00:00"/>
    <x v="0"/>
  </r>
  <r>
    <s v="CS-250402-0239"/>
    <x v="3"/>
    <s v="Thursday"/>
    <x v="2"/>
    <s v="SUBSCRIPTION"/>
    <x v="22"/>
    <n v="2"/>
    <n v="158"/>
    <s v="Veg"/>
    <d v="2025-04-03T00:00:00"/>
    <x v="0"/>
  </r>
  <r>
    <s v="CS-250402-0238"/>
    <x v="3"/>
    <s v="Thursday"/>
    <x v="1"/>
    <s v="SUBSCRIPTION"/>
    <x v="23"/>
    <n v="1"/>
    <n v="149"/>
    <s v="Non-veg"/>
    <d v="2025-04-03T00:00:00"/>
    <x v="0"/>
  </r>
  <r>
    <s v="CS-250402-0231"/>
    <x v="3"/>
    <s v="Thursday"/>
    <x v="0"/>
    <s v="SUBSCRIPTION"/>
    <x v="21"/>
    <n v="1"/>
    <n v="99"/>
    <s v="Non-veg"/>
    <d v="2025-04-03T00:00:00"/>
    <x v="0"/>
  </r>
  <r>
    <s v="CS-250402-0223"/>
    <x v="3"/>
    <s v="Thursday"/>
    <x v="1"/>
    <s v="SUBSCRIPTION"/>
    <x v="23"/>
    <n v="1"/>
    <n v="149"/>
    <s v="Non-veg"/>
    <d v="2025-04-03T00:00:00"/>
    <x v="0"/>
  </r>
  <r>
    <s v="CS-250402-0230"/>
    <x v="3"/>
    <s v="Thursday"/>
    <x v="0"/>
    <s v="SUBSCRIPTION"/>
    <x v="24"/>
    <n v="1"/>
    <n v="129"/>
    <s v="Veg"/>
    <d v="2025-04-03T00:00:00"/>
    <x v="0"/>
  </r>
  <r>
    <s v="CS-250402-0233"/>
    <x v="3"/>
    <s v="Thursday"/>
    <x v="2"/>
    <s v="SUBSCRIPTION"/>
    <x v="25"/>
    <n v="1"/>
    <n v="117"/>
    <s v="Non-veg"/>
    <d v="2025-04-03T00:00:00"/>
    <x v="0"/>
  </r>
  <r>
    <s v="CS-250402-0241"/>
    <x v="3"/>
    <s v="Thursday"/>
    <x v="0"/>
    <s v="SUBSCRIPTION"/>
    <x v="26"/>
    <n v="1"/>
    <n v="129"/>
    <s v="Non-veg"/>
    <d v="2025-04-03T00:00:00"/>
    <x v="0"/>
  </r>
  <r>
    <s v="CS-250403-0053"/>
    <x v="3"/>
    <s v="Thursday"/>
    <x v="0"/>
    <s v="REGULAR"/>
    <x v="27"/>
    <n v="2"/>
    <n v="160"/>
    <s v="Veg"/>
    <d v="2025-04-03T00:00:00"/>
    <x v="1"/>
  </r>
  <r>
    <s v="CS-250403-0054"/>
    <x v="3"/>
    <s v="Thursday"/>
    <x v="0"/>
    <s v="REGULAR"/>
    <x v="28"/>
    <n v="1"/>
    <n v="190"/>
    <s v="Veg"/>
    <d v="2025-04-03T00:00:00"/>
    <x v="1"/>
  </r>
  <r>
    <m/>
    <x v="1"/>
    <m/>
    <x v="3"/>
    <m/>
    <x v="9"/>
    <n v="1"/>
    <m/>
    <s v="Veg"/>
    <d v="2025-04-03T00:00:00"/>
    <x v="1"/>
  </r>
  <r>
    <m/>
    <x v="1"/>
    <m/>
    <x v="3"/>
    <m/>
    <x v="29"/>
    <n v="1"/>
    <m/>
    <s v="Veg"/>
    <d v="2025-04-03T00:00:00"/>
    <x v="1"/>
  </r>
  <r>
    <s v="CS-250403-0075"/>
    <x v="3"/>
    <s v="Thursday"/>
    <x v="0"/>
    <s v="REGULAR"/>
    <x v="30"/>
    <n v="1"/>
    <n v="190"/>
    <s v="Non-veg"/>
    <d v="2025-04-03T00:00:00"/>
    <x v="1"/>
  </r>
  <r>
    <s v="CS-250403-0078"/>
    <x v="3"/>
    <s v="Thursday"/>
    <x v="0"/>
    <s v="REGULAR"/>
    <x v="31"/>
    <n v="1"/>
    <n v="280"/>
    <s v="Non-veg"/>
    <d v="2025-04-03T00:00:00"/>
    <x v="1"/>
  </r>
  <r>
    <s v="CS-250403-0098"/>
    <x v="3"/>
    <s v="Thursday"/>
    <x v="0"/>
    <s v="REGULAR"/>
    <x v="32"/>
    <n v="1"/>
    <n v="350"/>
    <s v="Veg"/>
    <d v="2025-04-03T00:00:00"/>
    <x v="1"/>
  </r>
  <r>
    <m/>
    <x v="1"/>
    <m/>
    <x v="3"/>
    <m/>
    <x v="33"/>
    <n v="1"/>
    <m/>
    <s v="Veg"/>
    <d v="2025-04-03T00:00:00"/>
    <x v="1"/>
  </r>
  <r>
    <m/>
    <x v="1"/>
    <m/>
    <x v="3"/>
    <m/>
    <x v="34"/>
    <n v="1"/>
    <m/>
    <s v="Veg"/>
    <d v="2025-04-03T00:00:00"/>
    <x v="1"/>
  </r>
  <r>
    <s v="CS-250403-0108"/>
    <x v="3"/>
    <s v="Thursday"/>
    <x v="0"/>
    <s v="REGULAR"/>
    <x v="35"/>
    <n v="1"/>
    <n v="240"/>
    <s v="Veg"/>
    <d v="2025-04-03T00:00:00"/>
    <x v="1"/>
  </r>
  <r>
    <m/>
    <x v="1"/>
    <m/>
    <x v="3"/>
    <m/>
    <x v="36"/>
    <n v="1"/>
    <m/>
    <s v="Non-veg"/>
    <d v="2025-04-03T00:00:00"/>
    <x v="1"/>
  </r>
  <r>
    <s v="CS-250403-0118"/>
    <x v="3"/>
    <s v="Thursday"/>
    <x v="0"/>
    <s v="REGULAR"/>
    <x v="17"/>
    <n v="2"/>
    <n v="280"/>
    <s v="Veg"/>
    <d v="2025-04-03T00:00:00"/>
    <x v="1"/>
  </r>
  <r>
    <s v="CS-250403-0205"/>
    <x v="4"/>
    <s v="Friday"/>
    <x v="1"/>
    <s v="SUBSCRIPTION"/>
    <x v="37"/>
    <n v="1"/>
    <n v="99"/>
    <s v="Veg"/>
    <d v="2025-04-04T00:00:00"/>
    <x v="0"/>
  </r>
  <r>
    <s v="CS-250403-0206"/>
    <x v="4"/>
    <s v="Friday"/>
    <x v="2"/>
    <s v="SUBSCRIPTION"/>
    <x v="38"/>
    <n v="1"/>
    <n v="99"/>
    <s v="Veg"/>
    <d v="2025-04-04T00:00:00"/>
    <x v="0"/>
  </r>
  <r>
    <s v="CS-250403-0204"/>
    <x v="4"/>
    <s v="Friday"/>
    <x v="0"/>
    <s v="SUBSCRIPTION"/>
    <x v="39"/>
    <n v="1"/>
    <n v="129"/>
    <s v="Veg"/>
    <d v="2025-04-04T00:00:00"/>
    <x v="0"/>
  </r>
  <r>
    <s v="CS-250403-0210"/>
    <x v="4"/>
    <s v="Friday"/>
    <x v="1"/>
    <s v="SUBSCRIPTION"/>
    <x v="40"/>
    <n v="1"/>
    <n v="129"/>
    <s v="Non-veg"/>
    <d v="2025-04-04T00:00:00"/>
    <x v="0"/>
  </r>
  <r>
    <s v="CS-250403-0216"/>
    <x v="4"/>
    <s v="Friday"/>
    <x v="0"/>
    <s v="SUBSCRIPTION"/>
    <x v="41"/>
    <n v="1"/>
    <n v="129"/>
    <s v="Veg"/>
    <d v="2025-04-04T00:00:00"/>
    <x v="0"/>
  </r>
  <r>
    <s v="CS-250403-0211"/>
    <x v="4"/>
    <s v="Friday"/>
    <x v="1"/>
    <s v="SUBSCRIPTION"/>
    <x v="37"/>
    <n v="1"/>
    <n v="99"/>
    <s v="Non-veg"/>
    <d v="2025-04-04T00:00:00"/>
    <x v="0"/>
  </r>
  <r>
    <s v="CS-250403-0219"/>
    <x v="4"/>
    <s v="Friday"/>
    <x v="0"/>
    <s v="SUBSCRIPTION"/>
    <x v="42"/>
    <n v="1"/>
    <n v="129"/>
    <s v="Non-veg"/>
    <d v="2025-04-04T00:00:00"/>
    <x v="0"/>
  </r>
  <r>
    <s v="CS-250403-0218"/>
    <x v="4"/>
    <s v="Friday"/>
    <x v="2"/>
    <s v="SUBSCRIPTION"/>
    <x v="38"/>
    <n v="1"/>
    <n v="99"/>
    <s v="Veg"/>
    <d v="2025-04-04T00:00:00"/>
    <x v="0"/>
  </r>
  <r>
    <s v="CS-250403-0226"/>
    <x v="4"/>
    <s v="Friday"/>
    <x v="2"/>
    <s v="SUBSCRIPTION"/>
    <x v="43"/>
    <n v="2"/>
    <n v="198"/>
    <s v="Veg"/>
    <d v="2025-04-04T00:00:00"/>
    <x v="0"/>
  </r>
  <r>
    <s v="CS-250403-0232"/>
    <x v="4"/>
    <s v="Friday"/>
    <x v="0"/>
    <s v="SUBSCRIPTION"/>
    <x v="44"/>
    <n v="1"/>
    <n v="129"/>
    <s v="Non-veg"/>
    <d v="2025-04-04T00:00:00"/>
    <x v="0"/>
  </r>
  <r>
    <s v="CS-250403-0235"/>
    <x v="4"/>
    <s v="Friday"/>
    <x v="0"/>
    <s v="SUBSCRIPTION"/>
    <x v="44"/>
    <n v="2"/>
    <n v="258"/>
    <s v="Non-veg"/>
    <d v="2025-04-04T00:00:00"/>
    <x v="0"/>
  </r>
  <r>
    <s v="CS-250404-0003"/>
    <x v="4"/>
    <s v="Friday"/>
    <x v="0"/>
    <s v="REGULAR"/>
    <x v="45"/>
    <n v="1"/>
    <n v="180"/>
    <s v="Veg"/>
    <d v="2025-04-04T00:00:00"/>
    <x v="1"/>
  </r>
  <r>
    <m/>
    <x v="1"/>
    <m/>
    <x v="3"/>
    <m/>
    <x v="46"/>
    <n v="1"/>
    <m/>
    <s v="Non-veg"/>
    <d v="2025-04-04T00:00:00"/>
    <x v="1"/>
  </r>
  <r>
    <s v="CS-250404-0018"/>
    <x v="4"/>
    <s v="Friday"/>
    <x v="0"/>
    <s v="REGULAR"/>
    <x v="17"/>
    <n v="2"/>
    <n v="280"/>
    <s v="Veg"/>
    <d v="2025-04-04T00:00:00"/>
    <x v="1"/>
  </r>
  <r>
    <s v="CS-250404-0020"/>
    <x v="4"/>
    <s v="Friday"/>
    <x v="0"/>
    <s v="REGULAR"/>
    <x v="8"/>
    <n v="1"/>
    <n v="240"/>
    <s v="Non-veg"/>
    <d v="2025-04-04T00:00:00"/>
    <x v="1"/>
  </r>
  <r>
    <m/>
    <x v="1"/>
    <m/>
    <x v="3"/>
    <m/>
    <x v="47"/>
    <n v="1"/>
    <m/>
    <s v="Veg"/>
    <d v="2025-04-04T00:00:00"/>
    <x v="1"/>
  </r>
  <r>
    <s v="CS-250404-0047"/>
    <x v="4"/>
    <s v="Friday"/>
    <x v="0"/>
    <s v="REGULAR"/>
    <x v="48"/>
    <n v="1"/>
    <n v="949"/>
    <s v="Non-veg"/>
    <d v="2025-04-04T00:00:00"/>
    <x v="1"/>
  </r>
  <r>
    <m/>
    <x v="1"/>
    <m/>
    <x v="3"/>
    <m/>
    <x v="49"/>
    <n v="1"/>
    <m/>
    <s v="Non-veg"/>
    <d v="2025-04-04T00:00:00"/>
    <x v="1"/>
  </r>
  <r>
    <m/>
    <x v="1"/>
    <m/>
    <x v="3"/>
    <m/>
    <x v="50"/>
    <n v="1"/>
    <m/>
    <s v="Non-veg"/>
    <d v="2025-04-04T00:00:00"/>
    <x v="1"/>
  </r>
  <r>
    <s v="CS-250404-0053"/>
    <x v="4"/>
    <s v="Friday"/>
    <x v="0"/>
    <s v="REGULAR"/>
    <x v="51"/>
    <n v="2"/>
    <n v="260"/>
    <s v="Veg"/>
    <d v="2025-04-04T00:00:00"/>
    <x v="1"/>
  </r>
  <r>
    <m/>
    <x v="1"/>
    <m/>
    <x v="3"/>
    <m/>
    <x v="28"/>
    <n v="2"/>
    <m/>
    <s v="Veg"/>
    <d v="2025-04-04T00:00:00"/>
    <x v="1"/>
  </r>
  <r>
    <s v="CS-250404-0055"/>
    <x v="4"/>
    <s v="Friday"/>
    <x v="0"/>
    <s v="REGULAR"/>
    <x v="32"/>
    <n v="1"/>
    <n v="190"/>
    <s v="Veg"/>
    <d v="2025-04-04T00:00:00"/>
    <x v="1"/>
  </r>
  <r>
    <s v="CS-250404-0068"/>
    <x v="4"/>
    <s v="Friday"/>
    <x v="0"/>
    <s v="REGULAR"/>
    <x v="45"/>
    <n v="1"/>
    <n v="295"/>
    <s v="Veg"/>
    <d v="2025-04-04T00:00:00"/>
    <x v="1"/>
  </r>
  <r>
    <m/>
    <x v="1"/>
    <m/>
    <x v="3"/>
    <m/>
    <x v="9"/>
    <n v="1"/>
    <m/>
    <s v="Veg"/>
    <d v="2025-04-04T00:00:00"/>
    <x v="1"/>
  </r>
  <r>
    <m/>
    <x v="1"/>
    <m/>
    <x v="3"/>
    <m/>
    <x v="52"/>
    <n v="1"/>
    <m/>
    <s v="Non-veg"/>
    <d v="2025-04-04T00:00:00"/>
    <x v="1"/>
  </r>
  <r>
    <s v="CS-250404-00215"/>
    <x v="5"/>
    <s v="Saturday"/>
    <x v="0"/>
    <s v="SUBSCRIPTION"/>
    <x v="24"/>
    <n v="1"/>
    <n v="129"/>
    <s v="Veg"/>
    <d v="2025-04-05T00:00:00"/>
    <x v="0"/>
  </r>
  <r>
    <s v="CS-250404-0223"/>
    <x v="5"/>
    <s v="Saturday"/>
    <x v="0"/>
    <s v="SUBSCRIPTION"/>
    <x v="53"/>
    <n v="1"/>
    <n v="179"/>
    <s v="Non-veg"/>
    <d v="2025-04-05T00:00:00"/>
    <x v="0"/>
  </r>
  <r>
    <s v="CS-250404-0224"/>
    <x v="5"/>
    <s v="Saturday"/>
    <x v="1"/>
    <s v="SUBSCRIPTION"/>
    <x v="54"/>
    <n v="1"/>
    <n v="149"/>
    <s v="Non-veg"/>
    <d v="2025-04-05T00:00:00"/>
    <x v="0"/>
  </r>
  <r>
    <s v="CS-250404-0225"/>
    <x v="5"/>
    <s v="Saturday"/>
    <x v="2"/>
    <s v="SUBSCRIPTION"/>
    <x v="55"/>
    <n v="2"/>
    <n v="158"/>
    <s v="Veg"/>
    <d v="2025-04-05T00:00:00"/>
    <x v="0"/>
  </r>
  <r>
    <s v="CS-250404-0226"/>
    <x v="5"/>
    <s v="Saturday"/>
    <x v="0"/>
    <s v="SUBSCRIPTION"/>
    <x v="53"/>
    <n v="1"/>
    <n v="179"/>
    <s v="Non-veg"/>
    <d v="2025-04-05T00:00:00"/>
    <x v="0"/>
  </r>
  <r>
    <s v="CS-250404-0229"/>
    <x v="5"/>
    <s v="Saturday"/>
    <x v="2"/>
    <s v="SUBSCRIPTION"/>
    <x v="55"/>
    <n v="1"/>
    <n v="79"/>
    <s v="Veg"/>
    <d v="2025-04-05T00:00:00"/>
    <x v="0"/>
  </r>
  <r>
    <s v="CS-250404-0233"/>
    <x v="5"/>
    <s v="Saturday"/>
    <x v="0"/>
    <s v="SUBSCRIPTION"/>
    <x v="56"/>
    <n v="1"/>
    <n v="129"/>
    <s v="Veg"/>
    <d v="2025-04-05T00:00:00"/>
    <x v="0"/>
  </r>
  <r>
    <s v="CS-250405-0007"/>
    <x v="5"/>
    <s v="Saturday"/>
    <x v="0"/>
    <s v="REGULAR"/>
    <x v="57"/>
    <n v="1"/>
    <n v="190"/>
    <s v="Non-veg"/>
    <d v="2025-04-05T00:00:00"/>
    <x v="1"/>
  </r>
  <r>
    <s v="CS-250405-0088"/>
    <x v="5"/>
    <s v="Saturday"/>
    <x v="0"/>
    <s v="REGULAR"/>
    <x v="32"/>
    <n v="1"/>
    <n v="190"/>
    <s v="Veg"/>
    <d v="2025-04-05T00:00:00"/>
    <x v="1"/>
  </r>
  <r>
    <s v="CS-250405-0113"/>
    <x v="5"/>
    <s v="Saturday"/>
    <x v="0"/>
    <s v="REGULAR"/>
    <x v="9"/>
    <n v="1"/>
    <n v="225"/>
    <s v="Veg"/>
    <d v="2025-04-05T00:00:00"/>
    <x v="1"/>
  </r>
  <r>
    <m/>
    <x v="1"/>
    <m/>
    <x v="3"/>
    <m/>
    <x v="32"/>
    <n v="1"/>
    <m/>
    <s v="Veg"/>
    <d v="2025-04-05T00:00:00"/>
    <x v="1"/>
  </r>
  <r>
    <s v="CS-250405-0127"/>
    <x v="5"/>
    <s v="Saturday"/>
    <x v="0"/>
    <s v="REGULAR"/>
    <x v="30"/>
    <n v="1"/>
    <n v="590"/>
    <s v="Non-veg"/>
    <d v="2025-04-05T00:00:00"/>
    <x v="1"/>
  </r>
  <r>
    <m/>
    <x v="1"/>
    <m/>
    <x v="3"/>
    <m/>
    <x v="58"/>
    <n v="1"/>
    <m/>
    <s v="Non-veg"/>
    <d v="2025-04-05T00:00:00"/>
    <x v="1"/>
  </r>
  <r>
    <m/>
    <x v="1"/>
    <m/>
    <x v="3"/>
    <m/>
    <x v="36"/>
    <n v="2"/>
    <m/>
    <s v="Non-veg"/>
    <d v="2025-04-05T00:00:00"/>
    <x v="1"/>
  </r>
  <r>
    <s v="CS-250405-0141"/>
    <x v="5"/>
    <s v="Saturday"/>
    <x v="0"/>
    <s v="REGULAR"/>
    <x v="30"/>
    <n v="1"/>
    <n v="270"/>
    <s v="Non-veg"/>
    <d v="2025-04-05T00:00:00"/>
    <x v="1"/>
  </r>
  <r>
    <m/>
    <x v="1"/>
    <m/>
    <x v="3"/>
    <m/>
    <x v="35"/>
    <n v="1"/>
    <m/>
    <s v="Veg"/>
    <d v="2025-04-05T00:00:00"/>
    <x v="1"/>
  </r>
  <r>
    <s v="CS-250405-0170"/>
    <x v="5"/>
    <s v="Saturday"/>
    <x v="0"/>
    <s v="REGULAR"/>
    <x v="59"/>
    <n v="1"/>
    <n v="450"/>
    <s v="Non-veg"/>
    <d v="2025-04-05T00:00:00"/>
    <x v="1"/>
  </r>
  <r>
    <m/>
    <x v="1"/>
    <m/>
    <x v="3"/>
    <m/>
    <x v="60"/>
    <n v="1"/>
    <m/>
    <s v="Non-veg"/>
    <d v="2025-04-05T00:00:00"/>
    <x v="1"/>
  </r>
  <r>
    <m/>
    <x v="1"/>
    <m/>
    <x v="3"/>
    <m/>
    <x v="57"/>
    <n v="1"/>
    <m/>
    <s v="Non-veg"/>
    <d v="2025-04-05T00:00:00"/>
    <x v="1"/>
  </r>
  <r>
    <s v="CS-250405-0186"/>
    <x v="5"/>
    <s v="Saturday"/>
    <x v="0"/>
    <s v="REGULAR"/>
    <x v="9"/>
    <n v="1"/>
    <n v="260"/>
    <s v="Veg"/>
    <d v="2025-04-05T00:00:00"/>
    <x v="1"/>
  </r>
  <r>
    <m/>
    <x v="1"/>
    <m/>
    <x v="3"/>
    <m/>
    <x v="61"/>
    <n v="1"/>
    <m/>
    <s v="Veg"/>
    <d v="2025-04-05T00:00:00"/>
    <x v="1"/>
  </r>
  <r>
    <m/>
    <x v="1"/>
    <m/>
    <x v="3"/>
    <m/>
    <x v="62"/>
    <n v="1"/>
    <m/>
    <s v="Non-veg"/>
    <d v="2025-04-05T00:00:00"/>
    <x v="1"/>
  </r>
  <r>
    <s v="CS-250405-0195"/>
    <x v="5"/>
    <s v="Saturday"/>
    <x v="0"/>
    <s v="REGULAR"/>
    <x v="63"/>
    <n v="1"/>
    <n v="170"/>
    <s v="Non-veg"/>
    <d v="2025-04-05T00:00:00"/>
    <x v="1"/>
  </r>
  <r>
    <s v="CS-250405-0198"/>
    <x v="5"/>
    <s v="Saturday"/>
    <x v="0"/>
    <s v="REGULAR"/>
    <x v="5"/>
    <n v="1"/>
    <n v="300"/>
    <s v="Veg"/>
    <d v="2025-04-05T00:00:00"/>
    <x v="1"/>
  </r>
  <r>
    <m/>
    <x v="1"/>
    <m/>
    <x v="3"/>
    <m/>
    <x v="36"/>
    <n v="1"/>
    <m/>
    <s v="Non-veg"/>
    <d v="2025-04-05T00:00:00"/>
    <x v="1"/>
  </r>
  <r>
    <m/>
    <x v="1"/>
    <m/>
    <x v="3"/>
    <m/>
    <x v="64"/>
    <n v="1"/>
    <m/>
    <s v="Veg"/>
    <d v="2025-04-05T00:00:00"/>
    <x v="1"/>
  </r>
  <r>
    <s v="CS-250405-0231"/>
    <x v="5"/>
    <s v="Saturday"/>
    <x v="0"/>
    <s v="REGULAR"/>
    <x v="65"/>
    <n v="1"/>
    <n v="170"/>
    <s v="Non-veg"/>
    <d v="2025-04-05T00:00:00"/>
    <x v="1"/>
  </r>
  <r>
    <s v="CS-250405-0255"/>
    <x v="6"/>
    <s v="Sunday"/>
    <x v="1"/>
    <s v="SUBSCRIPTION"/>
    <x v="66"/>
    <n v="1"/>
    <n v="129"/>
    <s v="Non-veg"/>
    <d v="2025-04-06T00:00:00"/>
    <x v="0"/>
  </r>
  <r>
    <s v="CS-250405-0259"/>
    <x v="6"/>
    <s v="Sunday"/>
    <x v="0"/>
    <s v="SUBSCRIPTION"/>
    <x v="67"/>
    <n v="1"/>
    <n v="149"/>
    <s v="Non-veg"/>
    <d v="2025-04-06T00:00:00"/>
    <x v="0"/>
  </r>
  <r>
    <s v="CS-250405-0266"/>
    <x v="6"/>
    <s v="Sunday"/>
    <x v="0"/>
    <s v="SUBSCRIPTION"/>
    <x v="68"/>
    <n v="1"/>
    <n v="129"/>
    <s v="Non-veg"/>
    <d v="2025-04-06T00:00:00"/>
    <x v="0"/>
  </r>
  <r>
    <s v="CS-250405-0267"/>
    <x v="6"/>
    <s v="Sunday"/>
    <x v="2"/>
    <s v="SUBSCRIPTION"/>
    <x v="69"/>
    <n v="2"/>
    <n v="198"/>
    <s v="Non-veg"/>
    <d v="2025-04-06T00:00:00"/>
    <x v="0"/>
  </r>
  <r>
    <s v="CS-250405-0273"/>
    <x v="6"/>
    <s v="Sunday"/>
    <x v="2"/>
    <s v="SUBSCRIPTION"/>
    <x v="70"/>
    <n v="1"/>
    <n v="117"/>
    <s v="Non-veg"/>
    <d v="2025-04-06T00:00:00"/>
    <x v="0"/>
  </r>
  <r>
    <s v="CS-250405-0274"/>
    <x v="6"/>
    <s v="Sunday"/>
    <x v="1"/>
    <s v="SUBSCRIPTION"/>
    <x v="66"/>
    <n v="1"/>
    <n v="129"/>
    <s v="Non-veg"/>
    <d v="2025-04-06T00:00:00"/>
    <x v="0"/>
  </r>
  <r>
    <s v="CS-250406-0045"/>
    <x v="6"/>
    <s v="Sunday"/>
    <x v="0"/>
    <s v="REGULAR"/>
    <x v="17"/>
    <n v="1"/>
    <n v="140"/>
    <s v="Veg"/>
    <d v="2025-04-06T00:00:00"/>
    <x v="1"/>
  </r>
  <r>
    <s v="CS-250406-0048"/>
    <x v="6"/>
    <s v="Sunday"/>
    <x v="0"/>
    <s v="REGULAR"/>
    <x v="71"/>
    <n v="2"/>
    <n v="540"/>
    <s v="Non-veg"/>
    <d v="2025-04-06T00:00:00"/>
    <x v="1"/>
  </r>
  <r>
    <m/>
    <x v="1"/>
    <m/>
    <x v="3"/>
    <m/>
    <x v="72"/>
    <n v="1"/>
    <m/>
    <s v="Non-veg"/>
    <d v="2025-04-06T00:00:00"/>
    <x v="1"/>
  </r>
  <r>
    <s v="CS-250406-0084"/>
    <x v="6"/>
    <s v="Sunday"/>
    <x v="0"/>
    <s v="REGULAR"/>
    <x v="73"/>
    <n v="1"/>
    <n v="240"/>
    <s v="Non-veg"/>
    <d v="2025-04-06T00:00:00"/>
    <x v="1"/>
  </r>
  <r>
    <s v="CS-250406-0087"/>
    <x v="6"/>
    <s v="Sunday"/>
    <x v="0"/>
    <s v="REGULAR"/>
    <x v="5"/>
    <n v="1"/>
    <n v="190"/>
    <s v="Veg"/>
    <d v="2025-04-06T00:00:00"/>
    <x v="1"/>
  </r>
  <r>
    <m/>
    <x v="1"/>
    <m/>
    <x v="3"/>
    <m/>
    <x v="28"/>
    <n v="1"/>
    <m/>
    <s v="Veg"/>
    <d v="2025-04-06T00:00:00"/>
    <x v="1"/>
  </r>
  <r>
    <m/>
    <x v="1"/>
    <m/>
    <x v="3"/>
    <m/>
    <x v="29"/>
    <n v="1"/>
    <m/>
    <s v="Veg"/>
    <d v="2025-04-06T00:00:00"/>
    <x v="1"/>
  </r>
  <r>
    <s v="CS-250406-0115"/>
    <x v="6"/>
    <s v="Sunday"/>
    <x v="0"/>
    <s v="REGULAR"/>
    <x v="61"/>
    <n v="1"/>
    <n v="340"/>
    <s v="Veg"/>
    <d v="2025-04-06T00:00:00"/>
    <x v="1"/>
  </r>
  <r>
    <m/>
    <x v="1"/>
    <m/>
    <x v="3"/>
    <m/>
    <x v="5"/>
    <n v="1"/>
    <m/>
    <s v="Veg"/>
    <d v="2025-04-06T00:00:00"/>
    <x v="1"/>
  </r>
  <r>
    <m/>
    <x v="1"/>
    <m/>
    <x v="3"/>
    <m/>
    <x v="29"/>
    <n v="1"/>
    <m/>
    <s v="Veg"/>
    <d v="2025-04-06T00:00:00"/>
    <x v="1"/>
  </r>
  <r>
    <m/>
    <x v="1"/>
    <m/>
    <x v="3"/>
    <m/>
    <x v="51"/>
    <n v="1"/>
    <m/>
    <s v="Veg"/>
    <d v="2025-04-06T00:00:00"/>
    <x v="1"/>
  </r>
  <r>
    <m/>
    <x v="1"/>
    <m/>
    <x v="3"/>
    <m/>
    <x v="64"/>
    <n v="1"/>
    <m/>
    <s v="Veg"/>
    <d v="2025-04-06T00:00:00"/>
    <x v="1"/>
  </r>
  <r>
    <s v="CS-250406-0123"/>
    <x v="6"/>
    <s v="Sunday"/>
    <x v="0"/>
    <s v="REGULAR"/>
    <x v="5"/>
    <n v="1"/>
    <n v="340"/>
    <s v="Veg"/>
    <d v="2025-04-06T00:00:00"/>
    <x v="1"/>
  </r>
  <r>
    <m/>
    <x v="1"/>
    <m/>
    <x v="3"/>
    <m/>
    <x v="29"/>
    <n v="1"/>
    <m/>
    <s v="Veg"/>
    <d v="2025-04-06T00:00:00"/>
    <x v="1"/>
  </r>
  <r>
    <m/>
    <x v="1"/>
    <m/>
    <x v="3"/>
    <m/>
    <x v="36"/>
    <n v="1"/>
    <m/>
    <s v="Non-veg"/>
    <d v="2025-04-06T00:00:00"/>
    <x v="1"/>
  </r>
  <r>
    <s v="CS-250406-0141"/>
    <x v="6"/>
    <s v="Sunday"/>
    <x v="0"/>
    <s v="REGULAR"/>
    <x v="63"/>
    <n v="1"/>
    <n v="350"/>
    <s v="Non-veg"/>
    <d v="2025-04-06T00:00:00"/>
    <x v="1"/>
  </r>
  <r>
    <m/>
    <x v="1"/>
    <m/>
    <x v="3"/>
    <m/>
    <x v="71"/>
    <n v="1"/>
    <m/>
    <s v="Non-veg"/>
    <d v="2025-04-06T00:00:00"/>
    <x v="1"/>
  </r>
  <r>
    <s v="CS-250406-0149"/>
    <x v="6"/>
    <s v="Sunday"/>
    <x v="0"/>
    <s v="REGULAR"/>
    <x v="64"/>
    <n v="1"/>
    <n v="345"/>
    <s v="Veg"/>
    <d v="2025-04-06T00:00:00"/>
    <x v="1"/>
  </r>
  <r>
    <m/>
    <x v="1"/>
    <m/>
    <x v="3"/>
    <m/>
    <x v="27"/>
    <n v="1"/>
    <m/>
    <s v="Veg"/>
    <d v="2025-04-06T00:00:00"/>
    <x v="1"/>
  </r>
  <r>
    <m/>
    <x v="1"/>
    <m/>
    <x v="3"/>
    <m/>
    <x v="28"/>
    <n v="1"/>
    <m/>
    <s v="Veg"/>
    <d v="2025-04-06T00:00:00"/>
    <x v="1"/>
  </r>
  <r>
    <m/>
    <x v="1"/>
    <m/>
    <x v="3"/>
    <m/>
    <x v="61"/>
    <n v="1"/>
    <m/>
    <s v="Veg"/>
    <d v="2025-04-06T00:00:00"/>
    <x v="1"/>
  </r>
  <r>
    <m/>
    <x v="1"/>
    <m/>
    <x v="3"/>
    <m/>
    <x v="29"/>
    <n v="1"/>
    <m/>
    <s v="Veg"/>
    <d v="2025-04-06T00:00:00"/>
    <x v="1"/>
  </r>
  <r>
    <s v="CS-250406-0157"/>
    <x v="6"/>
    <s v="Sunday"/>
    <x v="0"/>
    <s v="REGULAR"/>
    <x v="50"/>
    <n v="1"/>
    <n v="190"/>
    <s v="Non-veg"/>
    <d v="2025-04-06T00:00:00"/>
    <x v="1"/>
  </r>
  <r>
    <s v="CS-250406-0206"/>
    <x v="6"/>
    <s v="Sunday"/>
    <x v="0"/>
    <s v="REGULAR"/>
    <x v="36"/>
    <n v="1"/>
    <n v="670"/>
    <s v="Non-veg"/>
    <d v="2025-04-06T00:00:00"/>
    <x v="1"/>
  </r>
  <r>
    <m/>
    <x v="1"/>
    <m/>
    <x v="3"/>
    <m/>
    <x v="71"/>
    <n v="1"/>
    <m/>
    <s v="Non-veg"/>
    <d v="2025-04-06T00:00:00"/>
    <x v="1"/>
  </r>
  <r>
    <m/>
    <x v="1"/>
    <m/>
    <x v="3"/>
    <m/>
    <x v="74"/>
    <n v="1"/>
    <m/>
    <s v="Non-veg"/>
    <d v="2025-04-06T00:00:00"/>
    <x v="1"/>
  </r>
  <r>
    <s v="CS-250406-0212"/>
    <x v="6"/>
    <s v="Sunday"/>
    <x v="0"/>
    <s v="REGULAR"/>
    <x v="63"/>
    <n v="1"/>
    <n v="340"/>
    <s v="Non-veg"/>
    <d v="2025-04-06T00:00:00"/>
    <x v="1"/>
  </r>
  <r>
    <m/>
    <x v="1"/>
    <m/>
    <x v="3"/>
    <m/>
    <x v="75"/>
    <n v="1"/>
    <m/>
    <s v="Non-veg"/>
    <d v="2025-04-06T00:00:00"/>
    <x v="1"/>
  </r>
  <r>
    <s v="CS-250406-0215"/>
    <x v="6"/>
    <s v="Sunday"/>
    <x v="0"/>
    <s v="REGULAR"/>
    <x v="35"/>
    <n v="1"/>
    <n v="385"/>
    <s v="Veg"/>
    <d v="2025-04-06T00:00:00"/>
    <x v="1"/>
  </r>
  <r>
    <m/>
    <x v="1"/>
    <m/>
    <x v="3"/>
    <m/>
    <x v="73"/>
    <n v="1"/>
    <m/>
    <s v="Non-veg"/>
    <d v="2025-04-06T00:00:00"/>
    <x v="1"/>
  </r>
  <r>
    <m/>
    <x v="1"/>
    <m/>
    <x v="3"/>
    <m/>
    <x v="5"/>
    <n v="1"/>
    <m/>
    <s v="Veg"/>
    <d v="2025-04-06T00:00:00"/>
    <x v="1"/>
  </r>
  <r>
    <s v="CS-250406-0224"/>
    <x v="6"/>
    <s v="Sunday"/>
    <x v="0"/>
    <s v="REGULAR"/>
    <x v="74"/>
    <n v="1"/>
    <n v="635"/>
    <s v="Non-veg"/>
    <d v="2025-04-06T00:00:00"/>
    <x v="1"/>
  </r>
  <r>
    <m/>
    <x v="1"/>
    <m/>
    <x v="3"/>
    <m/>
    <x v="61"/>
    <n v="1"/>
    <m/>
    <s v="Veg"/>
    <d v="2025-04-06T00:00:00"/>
    <x v="1"/>
  </r>
  <r>
    <m/>
    <x v="1"/>
    <m/>
    <x v="3"/>
    <m/>
    <x v="73"/>
    <n v="1"/>
    <m/>
    <s v="Non-veg"/>
    <d v="2025-04-06T00:00:00"/>
    <x v="1"/>
  </r>
  <r>
    <s v="CS-250406-0242"/>
    <x v="6"/>
    <s v="Sunday"/>
    <x v="0"/>
    <s v="REGULAR"/>
    <x v="76"/>
    <n v="1"/>
    <n v="180"/>
    <s v="Non-veg"/>
    <d v="2025-04-06T00:00:00"/>
    <x v="1"/>
  </r>
  <r>
    <s v="CS-250406-0343"/>
    <x v="7"/>
    <s v="Monday"/>
    <x v="0"/>
    <s v="SUBSCRIPTION"/>
    <x v="77"/>
    <n v="1"/>
    <n v="129"/>
    <s v="Veg"/>
    <d v="2025-04-07T00:00:00"/>
    <x v="0"/>
  </r>
  <r>
    <s v="CS-250406-0344"/>
    <x v="7"/>
    <s v="Monday"/>
    <x v="1"/>
    <s v="SUBSCRIPTION"/>
    <x v="78"/>
    <n v="1"/>
    <n v="79"/>
    <s v="Veg"/>
    <d v="2025-04-07T00:00:00"/>
    <x v="0"/>
  </r>
  <r>
    <s v="CS-250406-0347"/>
    <x v="7"/>
    <s v="Monday"/>
    <x v="0"/>
    <s v="SUBSCRIPTION"/>
    <x v="79"/>
    <n v="2"/>
    <n v="158"/>
    <s v="Veg"/>
    <d v="2025-04-07T00:00:00"/>
    <x v="0"/>
  </r>
  <r>
    <s v="CS-250406-0348"/>
    <x v="7"/>
    <s v="Monday"/>
    <x v="0"/>
    <s v="SUBSCRIPTION"/>
    <x v="80"/>
    <n v="1"/>
    <n v="99"/>
    <s v="Veg"/>
    <d v="2025-04-07T00:00:00"/>
    <x v="0"/>
  </r>
  <r>
    <s v="CS-250406-0352"/>
    <x v="7"/>
    <s v="Monday"/>
    <x v="0"/>
    <s v="SUBSCRIPTION"/>
    <x v="78"/>
    <n v="1"/>
    <n v="79"/>
    <s v="Veg"/>
    <d v="2025-04-07T00:00:00"/>
    <x v="0"/>
  </r>
  <r>
    <s v="CS-250406-0363"/>
    <x v="7"/>
    <s v="Monday"/>
    <x v="0"/>
    <s v="SUBSCRIPTION"/>
    <x v="81"/>
    <n v="1"/>
    <n v="117"/>
    <s v="Non-veg"/>
    <d v="2025-04-07T00:00:00"/>
    <x v="0"/>
  </r>
  <r>
    <s v="CS-250406-0368"/>
    <x v="7"/>
    <s v="Monday"/>
    <x v="0"/>
    <s v="SUBSCRIPTION"/>
    <x v="80"/>
    <n v="1"/>
    <n v="99"/>
    <s v="Veg"/>
    <d v="2025-04-07T00:00:00"/>
    <x v="0"/>
  </r>
  <r>
    <s v="CS-250406-0369"/>
    <x v="7"/>
    <s v="Monday"/>
    <x v="0"/>
    <s v="SUBSCRIPTION"/>
    <x v="82"/>
    <n v="1"/>
    <n v="117"/>
    <s v="Veg"/>
    <d v="2025-04-07T00:00:00"/>
    <x v="0"/>
  </r>
  <r>
    <s v="CS-250406-0375"/>
    <x v="7"/>
    <s v="Monday"/>
    <x v="0"/>
    <s v="SUBSCRIPTION"/>
    <x v="82"/>
    <n v="1"/>
    <n v="117"/>
    <s v="Veg"/>
    <d v="2025-04-07T00:00:00"/>
    <x v="0"/>
  </r>
  <r>
    <s v="CS-250406-0355"/>
    <x v="7"/>
    <s v="Monday"/>
    <x v="0"/>
    <s v="SUBSCRIPTION"/>
    <x v="83"/>
    <n v="2"/>
    <n v="198"/>
    <s v="Veg"/>
    <d v="2025-04-07T00:00:00"/>
    <x v="0"/>
  </r>
  <r>
    <s v="CS-250407-0046"/>
    <x v="7"/>
    <s v="Monday"/>
    <x v="0"/>
    <s v="REGULAR"/>
    <x v="50"/>
    <n v="2"/>
    <n v="680"/>
    <s v="Non-veg"/>
    <d v="2025-04-07T00:00:00"/>
    <x v="1"/>
  </r>
  <r>
    <m/>
    <x v="1"/>
    <m/>
    <x v="3"/>
    <m/>
    <x v="36"/>
    <n v="2"/>
    <m/>
    <s v="Non-veg"/>
    <d v="2025-04-07T00:00:00"/>
    <x v="1"/>
  </r>
  <r>
    <m/>
    <x v="1"/>
    <m/>
    <x v="3"/>
    <m/>
    <x v="84"/>
    <n v="1"/>
    <m/>
    <s v="Veg"/>
    <d v="2025-04-07T00:00:00"/>
    <x v="1"/>
  </r>
  <r>
    <m/>
    <x v="1"/>
    <m/>
    <x v="3"/>
    <m/>
    <x v="9"/>
    <n v="1"/>
    <m/>
    <s v="Veg"/>
    <d v="2025-04-07T00:00:00"/>
    <x v="1"/>
  </r>
  <r>
    <s v="CS-250407-0074"/>
    <x v="7"/>
    <s v="Monday"/>
    <x v="0"/>
    <s v="REGULAR"/>
    <x v="75"/>
    <n v="1"/>
    <n v="340"/>
    <s v="Non-veg"/>
    <d v="2025-04-07T00:00:00"/>
    <x v="1"/>
  </r>
  <r>
    <m/>
    <x v="1"/>
    <m/>
    <x v="3"/>
    <m/>
    <x v="65"/>
    <n v="1"/>
    <m/>
    <s v="Non-veg"/>
    <d v="2025-04-07T00:00:00"/>
    <x v="1"/>
  </r>
  <r>
    <s v="CS-250407-0109"/>
    <x v="7"/>
    <s v="Monday"/>
    <x v="0"/>
    <s v="REGULAR"/>
    <x v="46"/>
    <n v="2"/>
    <n v="220"/>
    <s v="Non-veg"/>
    <d v="2025-04-07T00:00:00"/>
    <x v="1"/>
  </r>
  <r>
    <m/>
    <x v="1"/>
    <m/>
    <x v="3"/>
    <m/>
    <x v="85"/>
    <n v="1"/>
    <m/>
    <s v="Veg"/>
    <d v="2025-04-07T00:00:00"/>
    <x v="1"/>
  </r>
  <r>
    <s v="CS-250407-0129"/>
    <x v="7"/>
    <s v="Monday"/>
    <x v="0"/>
    <s v="REGULAR"/>
    <x v="63"/>
    <n v="1"/>
    <n v="310"/>
    <s v="Non-veg"/>
    <d v="2025-04-07T00:00:00"/>
    <x v="1"/>
  </r>
  <r>
    <m/>
    <x v="1"/>
    <m/>
    <x v="3"/>
    <m/>
    <x v="60"/>
    <n v="1"/>
    <m/>
    <s v="Non-veg"/>
    <d v="2025-04-07T00:00:00"/>
    <x v="1"/>
  </r>
  <r>
    <s v="CS-250407-0147"/>
    <x v="7"/>
    <s v="Monday"/>
    <x v="0"/>
    <s v="REGULAR"/>
    <x v="86"/>
    <n v="2"/>
    <n v="325"/>
    <s v="Veg"/>
    <d v="2025-04-07T00:00:00"/>
    <x v="1"/>
  </r>
  <r>
    <m/>
    <x v="1"/>
    <m/>
    <x v="3"/>
    <m/>
    <x v="61"/>
    <n v="1"/>
    <m/>
    <s v="Veg"/>
    <d v="2025-04-07T00:00:00"/>
    <x v="1"/>
  </r>
  <r>
    <s v="CS-250407-0158"/>
    <x v="7"/>
    <s v="Monday"/>
    <x v="0"/>
    <s v="REGULAR"/>
    <x v="62"/>
    <n v="1"/>
    <n v="705"/>
    <s v="Non-veg"/>
    <d v="2025-04-07T00:00:00"/>
    <x v="1"/>
  </r>
  <r>
    <m/>
    <x v="1"/>
    <m/>
    <x v="3"/>
    <m/>
    <x v="50"/>
    <n v="2"/>
    <m/>
    <s v="Non-veg"/>
    <d v="2025-04-07T00:00:00"/>
    <x v="1"/>
  </r>
  <r>
    <m/>
    <x v="1"/>
    <m/>
    <x v="3"/>
    <m/>
    <x v="61"/>
    <n v="1"/>
    <m/>
    <s v="Veg"/>
    <d v="2025-04-07T00:00:00"/>
    <x v="1"/>
  </r>
  <r>
    <m/>
    <x v="1"/>
    <m/>
    <x v="3"/>
    <m/>
    <x v="86"/>
    <n v="1"/>
    <m/>
    <s v="Veg"/>
    <d v="2025-04-07T00:00:00"/>
    <x v="1"/>
  </r>
  <r>
    <s v="CS-250407-0220"/>
    <x v="8"/>
    <s v="Tuesday"/>
    <x v="0"/>
    <s v="SUBSCRIPTION"/>
    <x v="3"/>
    <n v="1"/>
    <n v="129"/>
    <s v="Non-veg"/>
    <d v="2025-04-08T00:00:00"/>
    <x v="0"/>
  </r>
  <r>
    <s v="CS-250407-0233"/>
    <x v="8"/>
    <s v="Tuesday"/>
    <x v="0"/>
    <s v="SUBSCRIPTION"/>
    <x v="3"/>
    <n v="1"/>
    <n v="129"/>
    <s v="Non-veg"/>
    <d v="2025-04-08T00:00:00"/>
    <x v="0"/>
  </r>
  <r>
    <s v="CS-250407-0227"/>
    <x v="8"/>
    <s v="Tuesday"/>
    <x v="0"/>
    <s v="SUBSCRIPTION"/>
    <x v="3"/>
    <n v="1"/>
    <n v="129"/>
    <s v="Non-veg"/>
    <d v="2025-04-08T00:00:00"/>
    <x v="0"/>
  </r>
  <r>
    <s v="CS-250407-0237"/>
    <x v="8"/>
    <s v="Tuesday"/>
    <x v="0"/>
    <s v="SUBSCRIPTION"/>
    <x v="87"/>
    <n v="2"/>
    <n v="198"/>
    <s v="Veg"/>
    <d v="2025-04-08T00:00:00"/>
    <x v="0"/>
  </r>
  <r>
    <s v="CS-250407-0231"/>
    <x v="8"/>
    <s v="Tuesday"/>
    <x v="1"/>
    <s v="SUBSCRIPTION"/>
    <x v="1"/>
    <n v="1"/>
    <n v="117"/>
    <s v="Non-veg"/>
    <d v="2025-04-08T00:00:00"/>
    <x v="0"/>
  </r>
  <r>
    <s v="CS-250407-0241"/>
    <x v="8"/>
    <s v="Tuesday"/>
    <x v="2"/>
    <s v="SUBSCRIPTION"/>
    <x v="88"/>
    <n v="1"/>
    <n v="99"/>
    <s v="Veg"/>
    <d v="2025-04-08T00:00:00"/>
    <x v="0"/>
  </r>
  <r>
    <s v="CS-250407-0257"/>
    <x v="8"/>
    <s v="Tuesday"/>
    <x v="0"/>
    <s v="SUBSCRIPTION"/>
    <x v="89"/>
    <n v="1"/>
    <n v="129"/>
    <s v="Veg"/>
    <d v="2025-04-08T00:00:00"/>
    <x v="0"/>
  </r>
  <r>
    <s v="CS-250407-0261"/>
    <x v="8"/>
    <s v="Tuesday"/>
    <x v="1"/>
    <s v="SUBSCRIPTION"/>
    <x v="2"/>
    <n v="1"/>
    <n v="99"/>
    <s v="Veg"/>
    <d v="2025-04-08T00:00:00"/>
    <x v="0"/>
  </r>
  <r>
    <s v="CS-250407-0247"/>
    <x v="8"/>
    <s v="Tuesday"/>
    <x v="1"/>
    <s v="SUBSCRIPTION"/>
    <x v="2"/>
    <n v="1"/>
    <n v="99"/>
    <s v="Veg"/>
    <d v="2025-04-08T00:00:00"/>
    <x v="0"/>
  </r>
  <r>
    <s v="CS-250408-0025"/>
    <x v="8"/>
    <s v="Tuesday"/>
    <x v="0"/>
    <s v="REGULAR"/>
    <x v="64"/>
    <n v="1"/>
    <n v="280"/>
    <s v="Veg"/>
    <d v="2025-04-08T00:00:00"/>
    <x v="1"/>
  </r>
  <r>
    <m/>
    <x v="1"/>
    <m/>
    <x v="3"/>
    <m/>
    <x v="90"/>
    <n v="1"/>
    <m/>
    <s v="Veg"/>
    <d v="2025-04-08T00:00:00"/>
    <x v="1"/>
  </r>
  <r>
    <m/>
    <x v="1"/>
    <m/>
    <x v="3"/>
    <m/>
    <x v="9"/>
    <n v="1"/>
    <m/>
    <s v="Veg"/>
    <d v="2025-04-08T00:00:00"/>
    <x v="1"/>
  </r>
  <r>
    <s v="CS-250408-0047"/>
    <x v="8"/>
    <s v="Tuesday"/>
    <x v="0"/>
    <s v="REGULAR"/>
    <x v="31"/>
    <n v="1"/>
    <n v="430"/>
    <s v="Non-veg"/>
    <d v="2025-04-08T00:00:00"/>
    <x v="1"/>
  </r>
  <r>
    <m/>
    <x v="1"/>
    <m/>
    <x v="3"/>
    <m/>
    <x v="91"/>
    <n v="1"/>
    <m/>
    <s v="Non-veg"/>
    <d v="2025-04-08T00:00:00"/>
    <x v="1"/>
  </r>
  <r>
    <s v="CS-250408-0051"/>
    <x v="8"/>
    <s v="Tuesday"/>
    <x v="0"/>
    <s v="REGULAR"/>
    <x v="45"/>
    <n v="1"/>
    <n v="260"/>
    <s v="Veg"/>
    <d v="2025-04-08T00:00:00"/>
    <x v="1"/>
  </r>
  <r>
    <m/>
    <x v="1"/>
    <m/>
    <x v="3"/>
    <m/>
    <x v="92"/>
    <n v="2"/>
    <m/>
    <s v="Veg"/>
    <d v="2025-04-08T00:00:00"/>
    <x v="1"/>
  </r>
  <r>
    <s v="CS-250408-0053"/>
    <x v="8"/>
    <s v="Tuesday"/>
    <x v="0"/>
    <s v="REGULAR"/>
    <x v="45"/>
    <n v="1"/>
    <n v="120"/>
    <s v="Veg"/>
    <d v="2025-04-08T00:00:00"/>
    <x v="1"/>
  </r>
  <r>
    <s v="CS-250408-0069"/>
    <x v="8"/>
    <s v="Tuesday"/>
    <x v="0"/>
    <s v="REGULAR"/>
    <x v="27"/>
    <n v="1"/>
    <n v="240"/>
    <s v="Veg"/>
    <d v="2025-04-08T00:00:00"/>
    <x v="1"/>
  </r>
  <r>
    <m/>
    <x v="1"/>
    <m/>
    <x v="3"/>
    <m/>
    <x v="28"/>
    <n v="1"/>
    <m/>
    <s v="Veg"/>
    <d v="2025-04-08T00:00:00"/>
    <x v="1"/>
  </r>
  <r>
    <m/>
    <x v="1"/>
    <m/>
    <x v="3"/>
    <m/>
    <x v="85"/>
    <n v="1"/>
    <m/>
    <s v="Veg"/>
    <d v="2025-04-08T00:00:00"/>
    <x v="1"/>
  </r>
  <r>
    <s v="CS-250408-0087"/>
    <x v="8"/>
    <s v="Tuesday"/>
    <x v="0"/>
    <s v="REGULAR"/>
    <x v="34"/>
    <n v="1"/>
    <n v="260"/>
    <s v="Veg"/>
    <d v="2025-04-08T00:00:00"/>
    <x v="1"/>
  </r>
  <r>
    <m/>
    <x v="1"/>
    <m/>
    <x v="3"/>
    <m/>
    <x v="76"/>
    <n v="1"/>
    <m/>
    <s v="Non-veg"/>
    <d v="2025-04-08T00:00:00"/>
    <x v="1"/>
  </r>
  <r>
    <s v="CS-250408-0092"/>
    <x v="8"/>
    <s v="Tuesday"/>
    <x v="0"/>
    <s v="REGULAR"/>
    <x v="93"/>
    <n v="1"/>
    <n v="330"/>
    <s v="Non-veg"/>
    <d v="2025-04-08T00:00:00"/>
    <x v="1"/>
  </r>
  <r>
    <s v="CS-250408-0133"/>
    <x v="8"/>
    <s v="Tuesday"/>
    <x v="0"/>
    <s v="REGULAR"/>
    <x v="94"/>
    <n v="1"/>
    <n v="515"/>
    <s v="Non-veg"/>
    <d v="2025-04-08T00:00:00"/>
    <x v="1"/>
  </r>
  <r>
    <m/>
    <x v="1"/>
    <m/>
    <x v="3"/>
    <m/>
    <x v="47"/>
    <n v="1"/>
    <m/>
    <s v="Veg"/>
    <d v="2025-04-08T00:00:00"/>
    <x v="1"/>
  </r>
  <r>
    <m/>
    <x v="1"/>
    <m/>
    <x v="3"/>
    <m/>
    <x v="45"/>
    <n v="1"/>
    <m/>
    <s v="Veg"/>
    <d v="2025-04-08T00:00:00"/>
    <x v="1"/>
  </r>
  <r>
    <m/>
    <x v="1"/>
    <m/>
    <x v="3"/>
    <m/>
    <x v="64"/>
    <n v="1"/>
    <m/>
    <s v="Veg"/>
    <d v="2025-04-08T00:00:00"/>
    <x v="1"/>
  </r>
  <r>
    <s v="CS-250408-0240"/>
    <x v="8"/>
    <s v="Tuesday"/>
    <x v="0"/>
    <s v="REGULAR"/>
    <x v="95"/>
    <n v="2"/>
    <n v="260"/>
    <s v="Non-veg"/>
    <d v="2025-04-08T00:00:00"/>
    <x v="1"/>
  </r>
  <r>
    <s v="CS-250408-0238"/>
    <x v="8"/>
    <s v="Tuesday"/>
    <x v="0"/>
    <s v="REGULAR"/>
    <x v="96"/>
    <n v="1"/>
    <n v="640"/>
    <s v="Veg"/>
    <d v="2025-04-08T00:00:00"/>
    <x v="1"/>
  </r>
  <r>
    <m/>
    <x v="1"/>
    <m/>
    <x v="3"/>
    <m/>
    <x v="97"/>
    <n v="1"/>
    <m/>
    <s v="Non-veg"/>
    <d v="2025-04-08T00:00:00"/>
    <x v="1"/>
  </r>
  <r>
    <m/>
    <x v="1"/>
    <m/>
    <x v="3"/>
    <m/>
    <x v="30"/>
    <n v="1"/>
    <m/>
    <s v="Non-veg"/>
    <d v="2025-04-08T00:00:00"/>
    <x v="1"/>
  </r>
  <r>
    <s v="CS-250408-0137"/>
    <x v="8"/>
    <s v="Tuesday"/>
    <x v="0"/>
    <s v="REGULAR"/>
    <x v="98"/>
    <n v="1"/>
    <n v="240"/>
    <s v="Veg"/>
    <d v="2025-04-08T00:00:00"/>
    <x v="1"/>
  </r>
  <r>
    <m/>
    <x v="1"/>
    <m/>
    <x v="3"/>
    <m/>
    <x v="36"/>
    <n v="1"/>
    <m/>
    <s v="Non-veg"/>
    <d v="2025-04-08T00:00:00"/>
    <x v="1"/>
  </r>
  <r>
    <s v="CS-250408-0153"/>
    <x v="8"/>
    <s v="Tuesday"/>
    <x v="0"/>
    <s v="REGULAR"/>
    <x v="99"/>
    <n v="2"/>
    <n v="325"/>
    <s v="Veg"/>
    <d v="2025-04-08T00:00:00"/>
    <x v="1"/>
  </r>
  <r>
    <m/>
    <x v="1"/>
    <m/>
    <x v="3"/>
    <m/>
    <x v="100"/>
    <n v="1"/>
    <m/>
    <s v="Veg"/>
    <d v="2025-04-08T00:00:00"/>
    <x v="1"/>
  </r>
  <r>
    <s v="CS-250408-0187"/>
    <x v="9"/>
    <s v="Wednesday"/>
    <x v="0"/>
    <s v="SUBSCRIPTION"/>
    <x v="101"/>
    <n v="1"/>
    <n v="129"/>
    <s v="Veg"/>
    <d v="2025-04-09T00:00:00"/>
    <x v="0"/>
  </r>
  <r>
    <s v="CS-250408-0185"/>
    <x v="9"/>
    <s v="Wednesday"/>
    <x v="0"/>
    <s v="SUBSCRIPTION"/>
    <x v="14"/>
    <n v="1"/>
    <n v="179"/>
    <s v="Non-veg"/>
    <d v="2025-04-09T00:00:00"/>
    <x v="0"/>
  </r>
  <r>
    <s v="CS-250408-0189"/>
    <x v="9"/>
    <s v="Wednesday"/>
    <x v="2"/>
    <s v="SUBSCRIPTION"/>
    <x v="15"/>
    <n v="2"/>
    <n v="158"/>
    <s v="Veg"/>
    <d v="2025-04-09T00:00:00"/>
    <x v="0"/>
  </r>
  <r>
    <s v="CS-250408-0191"/>
    <x v="9"/>
    <s v="Wednesday"/>
    <x v="0"/>
    <s v="SUBSCRIPTION"/>
    <x v="14"/>
    <n v="1"/>
    <n v="129"/>
    <s v="Non-veg"/>
    <d v="2025-04-09T00:00:00"/>
    <x v="0"/>
  </r>
  <r>
    <s v="CS-250408-0193"/>
    <x v="9"/>
    <s v="Wednesday"/>
    <x v="1"/>
    <s v="SUBSCRIPTION"/>
    <x v="11"/>
    <n v="1"/>
    <n v="99"/>
    <s v="Non-veg"/>
    <d v="2025-04-09T00:00:00"/>
    <x v="0"/>
  </r>
  <r>
    <s v="CS-250408-0194"/>
    <x v="9"/>
    <s v="Wednesday"/>
    <x v="1"/>
    <s v="SUBSCRIPTION"/>
    <x v="13"/>
    <n v="1"/>
    <n v="112"/>
    <s v="Non-veg"/>
    <d v="2025-04-09T00:00:00"/>
    <x v="0"/>
  </r>
  <r>
    <s v="CS-250408-0196"/>
    <x v="9"/>
    <s v="Wednesday"/>
    <x v="2"/>
    <s v="SUBSCRIPTION"/>
    <x v="16"/>
    <n v="1"/>
    <n v="129"/>
    <s v="Non-veg"/>
    <d v="2025-04-09T00:00:00"/>
    <x v="0"/>
  </r>
  <r>
    <s v="CS-250408-0200"/>
    <x v="9"/>
    <s v="Wednesday"/>
    <x v="0"/>
    <s v="SUBSCRIPTION"/>
    <x v="14"/>
    <n v="1"/>
    <n v="179"/>
    <s v="Non-veg"/>
    <d v="2025-04-09T00:00:00"/>
    <x v="0"/>
  </r>
  <r>
    <s v="CS-250408-0204"/>
    <x v="9"/>
    <s v="Wednesday"/>
    <x v="1"/>
    <s v="SUBSCRIPTION"/>
    <x v="11"/>
    <n v="1"/>
    <n v="99"/>
    <s v="Non-veg"/>
    <d v="2025-04-09T00:00:00"/>
    <x v="0"/>
  </r>
  <r>
    <s v="CS-250408-0230"/>
    <x v="9"/>
    <s v="Wednesday"/>
    <x v="0"/>
    <s v="SUBSCRIPTION"/>
    <x v="102"/>
    <n v="2"/>
    <n v="198"/>
    <s v="Veg"/>
    <d v="2025-04-09T00:00:00"/>
    <x v="0"/>
  </r>
  <r>
    <s v="CS-250409-0030"/>
    <x v="9"/>
    <s v="Wednesday"/>
    <x v="0"/>
    <s v="REGULAR"/>
    <x v="31"/>
    <n v="1"/>
    <n v="470"/>
    <s v="Non-veg"/>
    <d v="2025-04-09T00:00:00"/>
    <x v="1"/>
  </r>
  <r>
    <m/>
    <x v="1"/>
    <m/>
    <x v="3"/>
    <m/>
    <x v="32"/>
    <n v="1"/>
    <m/>
    <s v="Veg"/>
    <d v="2025-04-09T00:00:00"/>
    <x v="1"/>
  </r>
  <r>
    <s v="CS-250409-0033"/>
    <x v="9"/>
    <s v="Wednesday"/>
    <x v="0"/>
    <s v="REGULAR"/>
    <x v="36"/>
    <n v="1"/>
    <n v="670"/>
    <s v="Non-veg"/>
    <d v="2025-04-09T00:00:00"/>
    <x v="1"/>
  </r>
  <r>
    <m/>
    <x v="1"/>
    <m/>
    <x v="3"/>
    <m/>
    <x v="86"/>
    <n v="1"/>
    <m/>
    <s v="Veg"/>
    <d v="2025-04-09T00:00:00"/>
    <x v="1"/>
  </r>
  <r>
    <m/>
    <x v="1"/>
    <m/>
    <x v="3"/>
    <m/>
    <x v="32"/>
    <n v="2"/>
    <m/>
    <s v="Veg"/>
    <d v="2025-04-09T00:00:00"/>
    <x v="1"/>
  </r>
  <r>
    <s v="CS-250409-0043"/>
    <x v="9"/>
    <s v="Wednesday"/>
    <x v="0"/>
    <s v="REGULAR"/>
    <x v="45"/>
    <n v="1"/>
    <n v="350"/>
    <s v="Veg"/>
    <d v="2025-04-09T00:00:00"/>
    <x v="1"/>
  </r>
  <r>
    <m/>
    <x v="1"/>
    <m/>
    <x v="3"/>
    <m/>
    <x v="103"/>
    <n v="1"/>
    <m/>
    <s v="Veg"/>
    <d v="2025-04-09T00:00:00"/>
    <x v="1"/>
  </r>
  <r>
    <m/>
    <x v="1"/>
    <m/>
    <x v="3"/>
    <m/>
    <x v="51"/>
    <n v="1"/>
    <m/>
    <s v="Veg"/>
    <d v="2025-04-09T00:00:00"/>
    <x v="1"/>
  </r>
  <r>
    <m/>
    <x v="1"/>
    <m/>
    <x v="3"/>
    <m/>
    <x v="35"/>
    <n v="1"/>
    <m/>
    <s v="Veg"/>
    <d v="2025-04-09T00:00:00"/>
    <x v="1"/>
  </r>
  <r>
    <s v="CS-250409-0048"/>
    <x v="9"/>
    <s v="Wednesday"/>
    <x v="0"/>
    <s v="REGULAR"/>
    <x v="94"/>
    <n v="1"/>
    <n v="160"/>
    <s v="Non-veg"/>
    <d v="2025-04-09T00:00:00"/>
    <x v="1"/>
  </r>
  <r>
    <s v="CS-250409-0062"/>
    <x v="9"/>
    <s v="Wednesday"/>
    <x v="0"/>
    <s v="REGULAR"/>
    <x v="63"/>
    <n v="1"/>
    <n v="350"/>
    <s v="Non-veg"/>
    <d v="2025-04-09T00:00:00"/>
    <x v="1"/>
  </r>
  <r>
    <m/>
    <x v="1"/>
    <m/>
    <x v="3"/>
    <m/>
    <x v="76"/>
    <n v="1"/>
    <m/>
    <s v="Non-veg"/>
    <d v="2025-04-09T00:00:00"/>
    <x v="1"/>
  </r>
  <r>
    <s v="CS-250409-0065"/>
    <x v="9"/>
    <s v="Wednesday"/>
    <x v="0"/>
    <s v="REGULAR"/>
    <x v="7"/>
    <n v="1"/>
    <n v="95"/>
    <s v="Veg"/>
    <d v="2025-04-09T00:00:00"/>
    <x v="1"/>
  </r>
  <r>
    <s v="CS-250409-0075"/>
    <x v="9"/>
    <s v="Wednesday"/>
    <x v="0"/>
    <s v="REGULAR"/>
    <x v="73"/>
    <n v="1"/>
    <n v="240"/>
    <s v="Non-veg"/>
    <d v="2025-04-09T00:00:00"/>
    <x v="1"/>
  </r>
  <r>
    <s v="CS-250409-0098"/>
    <x v="9"/>
    <s v="Wednesday"/>
    <x v="0"/>
    <s v="REGULAR"/>
    <x v="30"/>
    <n v="1"/>
    <n v="190"/>
    <s v="Non-veg"/>
    <d v="2025-04-09T00:00:00"/>
    <x v="1"/>
  </r>
  <r>
    <s v="CS-250409-0170"/>
    <x v="9"/>
    <s v="Wednesday"/>
    <x v="0"/>
    <s v="REGULAR"/>
    <x v="104"/>
    <n v="1"/>
    <m/>
    <s v="Veg"/>
    <d v="2025-04-09T00:00:00"/>
    <x v="1"/>
  </r>
  <r>
    <m/>
    <x v="1"/>
    <m/>
    <x v="3"/>
    <m/>
    <x v="91"/>
    <n v="1"/>
    <m/>
    <s v="Non-veg"/>
    <d v="2025-04-09T00:00:00"/>
    <x v="1"/>
  </r>
  <r>
    <m/>
    <x v="1"/>
    <m/>
    <x v="3"/>
    <m/>
    <x v="64"/>
    <n v="1"/>
    <m/>
    <s v="Veg"/>
    <d v="2025-04-09T00:00:00"/>
    <x v="1"/>
  </r>
  <r>
    <m/>
    <x v="1"/>
    <m/>
    <x v="3"/>
    <m/>
    <x v="27"/>
    <n v="1"/>
    <m/>
    <s v="Veg"/>
    <d v="2025-04-09T00:00:00"/>
    <x v="1"/>
  </r>
  <r>
    <s v="CS-250409-0201"/>
    <x v="10"/>
    <s v="Thursday"/>
    <x v="0"/>
    <s v="SUBSCRIPTION"/>
    <x v="21"/>
    <n v="1"/>
    <n v="99"/>
    <s v="Non-veg"/>
    <d v="2025-04-10T00:00:00"/>
    <x v="0"/>
  </r>
  <r>
    <s v="CS-250409-0207"/>
    <x v="10"/>
    <s v="Thursday"/>
    <x v="0"/>
    <s v="SUBSCRIPTION"/>
    <x v="105"/>
    <n v="1"/>
    <n v="129"/>
    <s v="Non-veg"/>
    <d v="2025-04-10T00:00:00"/>
    <x v="0"/>
  </r>
  <r>
    <s v="CS-250409-0208"/>
    <x v="10"/>
    <s v="Thursday"/>
    <x v="0"/>
    <s v="SUBSCRIPTION"/>
    <x v="23"/>
    <n v="1"/>
    <n v="149"/>
    <s v="Non-veg"/>
    <d v="2025-04-10T00:00:00"/>
    <x v="0"/>
  </r>
  <r>
    <s v="CS-250409-0213"/>
    <x v="10"/>
    <s v="Thursday"/>
    <x v="2"/>
    <s v="SUBSCRIPTION"/>
    <x v="22"/>
    <n v="2"/>
    <n v="158"/>
    <s v="Veg"/>
    <d v="2025-04-10T00:00:00"/>
    <x v="0"/>
  </r>
  <r>
    <s v="CS-250409-0209"/>
    <x v="10"/>
    <s v="Thursday"/>
    <x v="2"/>
    <s v="SUBSCRIPTION"/>
    <x v="25"/>
    <n v="1"/>
    <n v="117"/>
    <s v="Non-veg"/>
    <d v="2025-04-10T00:00:00"/>
    <x v="0"/>
  </r>
  <r>
    <s v="CS-250409-0220"/>
    <x v="10"/>
    <s v="Thursday"/>
    <x v="0"/>
    <s v="SUBSCRIPTION"/>
    <x v="21"/>
    <n v="1"/>
    <n v="99"/>
    <s v="Non-veg"/>
    <d v="2025-04-10T00:00:00"/>
    <x v="0"/>
  </r>
  <r>
    <s v="CS-250409-0221"/>
    <x v="10"/>
    <s v="Thursday"/>
    <x v="0"/>
    <s v="SUBSCRIPTION"/>
    <x v="23"/>
    <n v="1"/>
    <n v="149"/>
    <s v="Non-veg"/>
    <d v="2025-04-10T00:00:00"/>
    <x v="0"/>
  </r>
  <r>
    <s v="CS-250409-0221"/>
    <x v="10"/>
    <s v="Thursday"/>
    <x v="0"/>
    <s v="SUBSCRIPTION"/>
    <x v="106"/>
    <n v="2"/>
    <n v="198"/>
    <s v="Veg"/>
    <d v="2025-04-10T00:00:00"/>
    <x v="0"/>
  </r>
  <r>
    <s v="CS-250409-0240"/>
    <x v="10"/>
    <s v="Thursday"/>
    <x v="1"/>
    <s v="SUBSCRIPTION"/>
    <x v="19"/>
    <n v="1"/>
    <n v="117"/>
    <s v="Veg"/>
    <d v="2025-04-10T00:00:00"/>
    <x v="0"/>
  </r>
  <r>
    <s v="CS-250409-0237"/>
    <x v="10"/>
    <s v="Thursday"/>
    <x v="0"/>
    <s v="SUBSCRIPTION"/>
    <x v="24"/>
    <n v="1"/>
    <n v="129"/>
    <s v="Veg"/>
    <d v="2025-04-10T00:00:00"/>
    <x v="0"/>
  </r>
  <r>
    <s v="CS-250410-0037"/>
    <x v="10"/>
    <s v="Thursday"/>
    <x v="0"/>
    <s v="REGULAR"/>
    <x v="107"/>
    <n v="1"/>
    <n v="360"/>
    <s v="Non-veg"/>
    <d v="2025-04-10T00:00:00"/>
    <x v="1"/>
  </r>
  <r>
    <m/>
    <x v="1"/>
    <m/>
    <x v="3"/>
    <m/>
    <x v="62"/>
    <n v="1"/>
    <m/>
    <s v="Non-veg"/>
    <d v="2025-04-10T00:00:00"/>
    <x v="1"/>
  </r>
  <r>
    <m/>
    <x v="1"/>
    <m/>
    <x v="3"/>
    <m/>
    <x v="85"/>
    <n v="1"/>
    <m/>
    <s v="Veg"/>
    <d v="2025-04-10T00:00:00"/>
    <x v="1"/>
  </r>
  <r>
    <s v="CS-250410-0080"/>
    <x v="10"/>
    <s v="Thursday"/>
    <x v="0"/>
    <s v="REGULAR"/>
    <x v="35"/>
    <n v="1"/>
    <n v="410"/>
    <s v="Veg"/>
    <d v="2025-04-10T00:00:00"/>
    <x v="1"/>
  </r>
  <r>
    <m/>
    <x v="1"/>
    <m/>
    <x v="3"/>
    <m/>
    <x v="93"/>
    <n v="1"/>
    <m/>
    <s v="Non-veg"/>
    <d v="2025-04-10T00:00:00"/>
    <x v="1"/>
  </r>
  <r>
    <s v="CS-250410-0094"/>
    <x v="10"/>
    <s v="Thursday"/>
    <x v="0"/>
    <s v="REGULAR"/>
    <x v="32"/>
    <n v="1"/>
    <n v="640"/>
    <s v="Veg"/>
    <d v="2025-04-10T00:00:00"/>
    <x v="1"/>
  </r>
  <r>
    <m/>
    <x v="1"/>
    <m/>
    <x v="3"/>
    <m/>
    <x v="60"/>
    <n v="1"/>
    <m/>
    <s v="Non-veg"/>
    <d v="2025-04-10T00:00:00"/>
    <x v="1"/>
  </r>
  <r>
    <m/>
    <x v="1"/>
    <m/>
    <x v="3"/>
    <m/>
    <x v="76"/>
    <n v="1"/>
    <m/>
    <s v="Non-veg"/>
    <d v="2025-04-10T00:00:00"/>
    <x v="1"/>
  </r>
  <r>
    <m/>
    <x v="1"/>
    <m/>
    <x v="3"/>
    <m/>
    <x v="62"/>
    <n v="1"/>
    <m/>
    <s v="Non-veg"/>
    <d v="2025-04-10T00:00:00"/>
    <x v="1"/>
  </r>
  <r>
    <s v="CS-250410-0101"/>
    <x v="10"/>
    <s v="Thursday"/>
    <x v="0"/>
    <s v="REGULAR"/>
    <x v="108"/>
    <n v="1"/>
    <n v="200"/>
    <s v="Non-veg"/>
    <d v="2025-04-10T00:00:00"/>
    <x v="1"/>
  </r>
  <r>
    <s v="CS-250410-0155"/>
    <x v="10"/>
    <s v="Thursday"/>
    <x v="0"/>
    <s v="REGULAR"/>
    <x v="104"/>
    <n v="1"/>
    <n v="225"/>
    <s v="Veg"/>
    <d v="2025-04-10T00:00:00"/>
    <x v="1"/>
  </r>
  <r>
    <m/>
    <x v="1"/>
    <m/>
    <x v="3"/>
    <m/>
    <x v="103"/>
    <n v="1"/>
    <m/>
    <s v="Veg"/>
    <m/>
    <x v="1"/>
  </r>
  <r>
    <m/>
    <x v="1"/>
    <m/>
    <x v="3"/>
    <m/>
    <x v="92"/>
    <n v="1"/>
    <m/>
    <s v="Veg"/>
    <m/>
    <x v="1"/>
  </r>
  <r>
    <s v="CS-250410-0202"/>
    <x v="11"/>
    <s v="Friday"/>
    <x v="0"/>
    <s v="SUBSCRIPTION"/>
    <x v="44"/>
    <n v="1"/>
    <n v="129"/>
    <s v="Non-veg"/>
    <d v="2025-04-11T00:00:00"/>
    <x v="0"/>
  </r>
  <r>
    <s v="CS-250410-0204"/>
    <x v="11"/>
    <s v="Friday"/>
    <x v="1"/>
    <s v="SUBSCRIPTION"/>
    <x v="37"/>
    <n v="1"/>
    <n v="99"/>
    <s v="Non-veg"/>
    <d v="2025-04-11T00:00:00"/>
    <x v="0"/>
  </r>
  <r>
    <s v="CS-250410-0205"/>
    <x v="11"/>
    <s v="Friday"/>
    <x v="1"/>
    <s v="SUBSCRIPTION"/>
    <x v="40"/>
    <n v="1"/>
    <n v="129"/>
    <s v="Non-veg"/>
    <m/>
    <x v="0"/>
  </r>
  <r>
    <s v="CS-250410-0210"/>
    <x v="11"/>
    <s v="Friday"/>
    <x v="0"/>
    <s v="SUBSCRIPTION"/>
    <x v="109"/>
    <n v="2"/>
    <n v="99"/>
    <s v="Veg"/>
    <m/>
    <x v="0"/>
  </r>
  <r>
    <s v="CS-250410-0224"/>
    <x v="11"/>
    <s v="Friday"/>
    <x v="2"/>
    <s v="SUBSCRIPTION"/>
    <x v="43"/>
    <n v="2"/>
    <n v="198"/>
    <s v="Veg"/>
    <m/>
    <x v="0"/>
  </r>
  <r>
    <s v="CS-250410-0223"/>
    <x v="11"/>
    <s v="Friday"/>
    <x v="0"/>
    <s v="SUBSCRIPTION"/>
    <x v="41"/>
    <n v="1"/>
    <n v="129"/>
    <s v="Veg"/>
    <m/>
    <x v="0"/>
  </r>
  <r>
    <s v="CS-250410-0232"/>
    <x v="11"/>
    <s v="Friday"/>
    <x v="1"/>
    <s v="SUBSCRIPTION"/>
    <x v="38"/>
    <n v="1"/>
    <n v="99"/>
    <s v="Veg"/>
    <m/>
    <x v="0"/>
  </r>
  <r>
    <s v="CS-250410-0238"/>
    <x v="11"/>
    <s v="Friday"/>
    <x v="0"/>
    <s v="SUBSCRIPTION"/>
    <x v="44"/>
    <n v="1"/>
    <n v="129"/>
    <s v="Non-veg"/>
    <m/>
    <x v="0"/>
  </r>
  <r>
    <s v="CS-250410-0208"/>
    <x v="11"/>
    <s v="Friday"/>
    <x v="2"/>
    <s v="SUBSCRIPTION"/>
    <x v="43"/>
    <n v="1"/>
    <n v="99"/>
    <s v="Veg"/>
    <m/>
    <x v="0"/>
  </r>
  <r>
    <s v="CS-250411-0166"/>
    <x v="12"/>
    <s v="Saturday"/>
    <x v="1"/>
    <s v="SUBSCRIPTION"/>
    <x v="110"/>
    <n v="1"/>
    <n v="79"/>
    <s v="Veg"/>
    <m/>
    <x v="0"/>
  </r>
  <r>
    <s v="CS-250411-0169"/>
    <x v="12"/>
    <s v="Saturday"/>
    <x v="1"/>
    <s v="SUBSCRIPTION"/>
    <x v="54"/>
    <n v="1"/>
    <n v="149"/>
    <s v="Non-veg"/>
    <m/>
    <x v="0"/>
  </r>
  <r>
    <s v="CS-250411-0174"/>
    <x v="12"/>
    <s v="Saturday"/>
    <x v="2"/>
    <s v="SUBSCRIPTION"/>
    <x v="55"/>
    <n v="2"/>
    <n v="158"/>
    <s v="Veg"/>
    <m/>
    <x v="0"/>
  </r>
  <r>
    <s v="CS-250411-0172"/>
    <x v="12"/>
    <s v="Saturday"/>
    <x v="0"/>
    <s v="SUBSCRIPTION"/>
    <x v="111"/>
    <n v="1"/>
    <n v="117"/>
    <s v="Non-veg"/>
    <m/>
    <x v="0"/>
  </r>
  <r>
    <s v="CS-250411-0173"/>
    <x v="12"/>
    <s v="Saturday"/>
    <x v="2"/>
    <s v="SUBSCRIPTION"/>
    <x v="55"/>
    <n v="1"/>
    <n v="79"/>
    <s v="Veg"/>
    <m/>
    <x v="0"/>
  </r>
  <r>
    <s v="CS-250411-0177"/>
    <x v="12"/>
    <s v="Saturday"/>
    <x v="0"/>
    <s v="SUBSCRIPTION"/>
    <x v="112"/>
    <n v="2"/>
    <n v="79"/>
    <s v="Veg"/>
    <m/>
    <x v="0"/>
  </r>
  <r>
    <s v="CS-250411-0198"/>
    <x v="12"/>
    <s v="Saturday"/>
    <x v="0"/>
    <s v="SUBSCRIPTION"/>
    <x v="113"/>
    <n v="1"/>
    <n v="112"/>
    <s v="Veg"/>
    <m/>
    <x v="0"/>
  </r>
  <r>
    <s v="CS-250412-0066"/>
    <x v="12"/>
    <s v="Saturday"/>
    <x v="0"/>
    <s v="REGULAR"/>
    <x v="51"/>
    <n v="1"/>
    <n v="270"/>
    <s v="Veg"/>
    <m/>
    <x v="1"/>
  </r>
  <r>
    <m/>
    <x v="1"/>
    <m/>
    <x v="3"/>
    <m/>
    <x v="45"/>
    <n v="1"/>
    <m/>
    <s v="Veg"/>
    <m/>
    <x v="1"/>
  </r>
  <r>
    <m/>
    <x v="1"/>
    <m/>
    <x v="3"/>
    <m/>
    <x v="58"/>
    <n v="1"/>
    <m/>
    <s v="Non-veg"/>
    <m/>
    <x v="1"/>
  </r>
  <r>
    <s v="CS-250412-0142"/>
    <x v="12"/>
    <s v="Saturday"/>
    <x v="0"/>
    <s v="REGULAR"/>
    <x v="50"/>
    <n v="1"/>
    <n v="350"/>
    <s v="Non-veg"/>
    <m/>
    <x v="1"/>
  </r>
  <r>
    <m/>
    <x v="1"/>
    <m/>
    <x v="3"/>
    <m/>
    <x v="36"/>
    <n v="1"/>
    <m/>
    <s v="Non-veg"/>
    <m/>
    <x v="1"/>
  </r>
  <r>
    <s v="CS-250412-0163"/>
    <x v="12"/>
    <s v="Saturday"/>
    <x v="0"/>
    <s v="REGULAR"/>
    <x v="33"/>
    <n v="1"/>
    <n v="140"/>
    <s v="Veg"/>
    <m/>
    <x v="1"/>
  </r>
  <r>
    <m/>
    <x v="1"/>
    <m/>
    <x v="3"/>
    <m/>
    <x v="49"/>
    <n v="1"/>
    <m/>
    <s v="Non-veg"/>
    <m/>
    <x v="1"/>
  </r>
  <r>
    <s v="CS-250412-0188"/>
    <x v="12"/>
    <s v="Saturday"/>
    <x v="0"/>
    <s v="REGULAR"/>
    <x v="90"/>
    <n v="1"/>
    <n v="420"/>
    <s v="Veg"/>
    <m/>
    <x v="1"/>
  </r>
  <r>
    <m/>
    <x v="1"/>
    <m/>
    <x v="3"/>
    <m/>
    <x v="114"/>
    <n v="1"/>
    <m/>
    <s v="Veg"/>
    <m/>
    <x v="1"/>
  </r>
  <r>
    <m/>
    <x v="1"/>
    <m/>
    <x v="3"/>
    <m/>
    <x v="86"/>
    <n v="1"/>
    <m/>
    <s v="Veg"/>
    <m/>
    <x v="1"/>
  </r>
  <r>
    <s v="CS-250412-0207"/>
    <x v="12"/>
    <s v="Saturday"/>
    <x v="0"/>
    <s v="REGULAR"/>
    <x v="32"/>
    <n v="1"/>
    <n v="190"/>
    <s v="Veg"/>
    <m/>
    <x v="1"/>
  </r>
  <r>
    <s v="CS-250412-0274"/>
    <x v="13"/>
    <s v="Sunday"/>
    <x v="1"/>
    <s v="SUBSCRIPTION"/>
    <x v="66"/>
    <n v="1"/>
    <n v="129"/>
    <s v="Non-veg"/>
    <m/>
    <x v="0"/>
  </r>
  <r>
    <s v="CS-250412-0272"/>
    <x v="13"/>
    <s v="Sunday"/>
    <x v="1"/>
    <s v="SUBSCRIPTION"/>
    <x v="66"/>
    <n v="1"/>
    <n v="129"/>
    <s v="Veg"/>
    <m/>
    <x v="0"/>
  </r>
  <r>
    <s v="CS-250412-0276"/>
    <x v="13"/>
    <s v="Sunday"/>
    <x v="2"/>
    <s v="SUBSCRIPTION"/>
    <x v="69"/>
    <n v="2"/>
    <n v="198"/>
    <s v="Veg"/>
    <m/>
    <x v="0"/>
  </r>
  <r>
    <s v="CS-250412-0282"/>
    <x v="13"/>
    <s v="Sunday"/>
    <x v="2"/>
    <s v="SUBSCRIPTION"/>
    <x v="70"/>
    <n v="1"/>
    <n v="117"/>
    <s v="Non-veg"/>
    <m/>
    <x v="0"/>
  </r>
  <r>
    <s v="CS-250412-0281"/>
    <x v="13"/>
    <s v="Sunday"/>
    <x v="0"/>
    <s v="SUBSCRIPTION"/>
    <x v="68"/>
    <n v="1"/>
    <n v="129"/>
    <s v="Non-veg"/>
    <m/>
    <x v="0"/>
  </r>
  <r>
    <s v="CS-250412-0286"/>
    <x v="13"/>
    <s v="Sunday"/>
    <x v="0"/>
    <s v="SUBSCRIPTION"/>
    <x v="115"/>
    <n v="1"/>
    <n v="179"/>
    <s v="Non-veg"/>
    <m/>
    <x v="0"/>
  </r>
  <r>
    <s v="CS-250413-0041"/>
    <x v="13"/>
    <s v="Sunday"/>
    <x v="0"/>
    <s v="REGULAR"/>
    <x v="60"/>
    <n v="3"/>
    <n v="420"/>
    <s v="Non-veg"/>
    <m/>
    <x v="1"/>
  </r>
  <r>
    <s v="CS-250413-0115"/>
    <x v="13"/>
    <s v="Sunday"/>
    <x v="0"/>
    <s v="REGULAR"/>
    <x v="65"/>
    <n v="1"/>
    <n v="170"/>
    <s v="Non-veg"/>
    <m/>
    <x v="1"/>
  </r>
  <r>
    <s v="CS-250413-0118"/>
    <x v="13"/>
    <s v="Sunday"/>
    <x v="0"/>
    <s v="REGULAR"/>
    <x v="46"/>
    <n v="1"/>
    <n v="375"/>
    <s v="Non-veg"/>
    <m/>
    <x v="1"/>
  </r>
  <r>
    <m/>
    <x v="1"/>
    <m/>
    <x v="3"/>
    <m/>
    <x v="73"/>
    <n v="1"/>
    <m/>
    <s v="Non-veg"/>
    <m/>
    <x v="1"/>
  </r>
  <r>
    <m/>
    <x v="1"/>
    <m/>
    <x v="3"/>
    <m/>
    <x v="64"/>
    <n v="1"/>
    <m/>
    <s v="Veg"/>
    <m/>
    <x v="1"/>
  </r>
  <r>
    <s v="CS-250413-0172"/>
    <x v="13"/>
    <s v="Sunday"/>
    <x v="0"/>
    <s v="REGULAR"/>
    <x v="64"/>
    <n v="1"/>
    <n v="510"/>
    <s v="Veg"/>
    <m/>
    <x v="1"/>
  </r>
  <r>
    <m/>
    <x v="1"/>
    <m/>
    <x v="3"/>
    <m/>
    <x v="93"/>
    <n v="1"/>
    <m/>
    <s v="Non-veg"/>
    <m/>
    <x v="1"/>
  </r>
  <r>
    <m/>
    <x v="1"/>
    <m/>
    <x v="3"/>
    <m/>
    <x v="116"/>
    <n v="1"/>
    <m/>
    <s v="Veg"/>
    <m/>
    <x v="1"/>
  </r>
  <r>
    <s v="CS-250413-0182"/>
    <x v="13"/>
    <s v="Sunday"/>
    <x v="0"/>
    <s v="REGULAR"/>
    <x v="45"/>
    <n v="1"/>
    <n v="260"/>
    <s v="Veg"/>
    <m/>
    <x v="1"/>
  </r>
  <r>
    <m/>
    <x v="1"/>
    <m/>
    <x v="3"/>
    <m/>
    <x v="92"/>
    <n v="2"/>
    <m/>
    <s v="Veg"/>
    <m/>
    <x v="1"/>
  </r>
  <r>
    <s v="CS-250413-0221"/>
    <x v="13"/>
    <s v="Sunday"/>
    <x v="0"/>
    <s v="REGULAR"/>
    <x v="71"/>
    <n v="1"/>
    <n v="340"/>
    <s v="Non-veg"/>
    <m/>
    <x v="1"/>
  </r>
  <r>
    <m/>
    <x v="1"/>
    <m/>
    <x v="3"/>
    <m/>
    <x v="35"/>
    <n v="1"/>
    <m/>
    <s v="Veg"/>
    <m/>
    <x v="1"/>
  </r>
  <r>
    <m/>
    <x v="1"/>
    <m/>
    <x v="3"/>
    <m/>
    <x v="27"/>
    <n v="1"/>
    <m/>
    <s v="Veg"/>
    <m/>
    <x v="1"/>
  </r>
  <r>
    <s v="CS-250413-0274"/>
    <x v="13"/>
    <s v="Sunday"/>
    <x v="0"/>
    <s v="REGULAR"/>
    <x v="45"/>
    <n v="1"/>
    <n v="440"/>
    <s v="Veg"/>
    <m/>
    <x v="1"/>
  </r>
  <r>
    <m/>
    <x v="1"/>
    <m/>
    <x v="3"/>
    <m/>
    <x v="58"/>
    <n v="1"/>
    <m/>
    <s v="Non-veg"/>
    <m/>
    <x v="1"/>
  </r>
  <r>
    <m/>
    <x v="1"/>
    <m/>
    <x v="3"/>
    <m/>
    <x v="35"/>
    <n v="2"/>
    <m/>
    <s v="Veg"/>
    <m/>
    <x v="1"/>
  </r>
  <r>
    <m/>
    <x v="1"/>
    <m/>
    <x v="3"/>
    <m/>
    <x v="103"/>
    <n v="1"/>
    <m/>
    <s v="Veg"/>
    <m/>
    <x v="1"/>
  </r>
  <r>
    <s v="CS-250413-0293"/>
    <x v="14"/>
    <s v="Monday"/>
    <x v="0"/>
    <s v="SUBSCRIPTION"/>
    <x v="82"/>
    <n v="1"/>
    <n v="117"/>
    <s v="Veg"/>
    <m/>
    <x v="0"/>
  </r>
  <r>
    <s v="CS-250413-0298"/>
    <x v="14"/>
    <s v="Monday"/>
    <x v="2"/>
    <s v="SUBSCRIPTION"/>
    <x v="80"/>
    <n v="1"/>
    <n v="99"/>
    <s v="Veg"/>
    <m/>
    <x v="0"/>
  </r>
  <r>
    <s v="CS-250413-0310"/>
    <x v="14"/>
    <s v="Monday"/>
    <x v="2"/>
    <s v="SUBSCRIPTION"/>
    <x v="79"/>
    <n v="2"/>
    <n v="158"/>
    <s v="Veg"/>
    <m/>
    <x v="0"/>
  </r>
  <r>
    <s v="CS-250413-0307"/>
    <x v="14"/>
    <s v="Monday"/>
    <x v="0"/>
    <s v="SUBSCRIPTION"/>
    <x v="82"/>
    <n v="1"/>
    <n v="117"/>
    <s v="Veg"/>
    <m/>
    <x v="0"/>
  </r>
  <r>
    <s v="CS-250413-0315"/>
    <x v="14"/>
    <s v="Monday"/>
    <x v="1"/>
    <s v="SUBSCRIPTION"/>
    <x v="81"/>
    <n v="1"/>
    <n v="117"/>
    <s v="Non-veg"/>
    <m/>
    <x v="0"/>
  </r>
  <r>
    <s v="CS-250413-0317"/>
    <x v="14"/>
    <s v="Monday"/>
    <x v="1"/>
    <s v="SUBSCRIPTION"/>
    <x v="78"/>
    <n v="1"/>
    <n v="79"/>
    <s v="Veg"/>
    <m/>
    <x v="0"/>
  </r>
  <r>
    <s v="CS-250413-0316"/>
    <x v="14"/>
    <s v="Monday"/>
    <x v="0"/>
    <s v="SUBSCRIPTION"/>
    <x v="117"/>
    <n v="1"/>
    <n v="112"/>
    <s v="Veg"/>
    <m/>
    <x v="0"/>
  </r>
  <r>
    <s v="CS-250413-0386"/>
    <x v="14"/>
    <s v="Monday"/>
    <x v="0"/>
    <s v="REGULAR"/>
    <x v="116"/>
    <n v="1"/>
    <n v="385"/>
    <s v="Veg"/>
    <m/>
    <x v="1"/>
  </r>
  <r>
    <m/>
    <x v="1"/>
    <m/>
    <x v="3"/>
    <m/>
    <x v="7"/>
    <n v="1"/>
    <m/>
    <s v="Veg"/>
    <m/>
    <x v="1"/>
  </r>
  <r>
    <m/>
    <x v="1"/>
    <m/>
    <x v="3"/>
    <m/>
    <x v="100"/>
    <n v="1"/>
    <m/>
    <s v="Veg"/>
    <m/>
    <x v="1"/>
  </r>
  <r>
    <m/>
    <x v="1"/>
    <m/>
    <x v="3"/>
    <m/>
    <x v="103"/>
    <n v="1"/>
    <m/>
    <s v="Veg"/>
    <m/>
    <x v="1"/>
  </r>
  <r>
    <s v="CS-250414-0190"/>
    <x v="15"/>
    <s v="Tuesday"/>
    <x v="0"/>
    <s v="SUBSCRIPTION"/>
    <x v="118"/>
    <n v="1"/>
    <n v="129"/>
    <s v="Non-veg"/>
    <m/>
    <x v="0"/>
  </r>
  <r>
    <s v="CS-250414-0191"/>
    <x v="15"/>
    <s v="Tuesday"/>
    <x v="2"/>
    <s v="SUBSCRIPTION"/>
    <x v="4"/>
    <n v="2"/>
    <n v="198"/>
    <s v="Veg"/>
    <m/>
    <x v="0"/>
  </r>
  <r>
    <s v="CS-250414-0193"/>
    <x v="15"/>
    <s v="Tuesday"/>
    <x v="1"/>
    <s v="SUBSCRIPTION"/>
    <x v="1"/>
    <n v="1"/>
    <n v="117"/>
    <s v="Non-veg"/>
    <m/>
    <x v="0"/>
  </r>
  <r>
    <s v="CS-250414-0197"/>
    <x v="15"/>
    <s v="Tuesday"/>
    <x v="0"/>
    <s v="SUBSCRIPTION"/>
    <x v="119"/>
    <n v="1"/>
    <n v="112"/>
    <s v="Veg"/>
    <m/>
    <x v="0"/>
  </r>
  <r>
    <s v="CS-250414-0199"/>
    <x v="15"/>
    <s v="Tuesday"/>
    <x v="0"/>
    <s v="SUBSCRIPTION"/>
    <x v="3"/>
    <n v="1"/>
    <n v="129"/>
    <s v="Non-veg"/>
    <m/>
    <x v="0"/>
  </r>
  <r>
    <s v="CS-250414-0194"/>
    <x v="15"/>
    <s v="Tuesday"/>
    <x v="1"/>
    <s v="SUBSCRIPTION"/>
    <x v="2"/>
    <n v="1"/>
    <n v="99"/>
    <s v="Veg"/>
    <m/>
    <x v="0"/>
  </r>
  <r>
    <s v="CS-250414-0202"/>
    <x v="15"/>
    <s v="Tuesday"/>
    <x v="0"/>
    <s v="SUBSCRIPTION"/>
    <x v="3"/>
    <n v="1"/>
    <n v="129"/>
    <s v="Non-veg"/>
    <m/>
    <x v="0"/>
  </r>
  <r>
    <s v="CS-250414-0206"/>
    <x v="15"/>
    <s v="Tuesday"/>
    <x v="2"/>
    <s v="SUBSCRIPTION"/>
    <x v="88"/>
    <n v="1"/>
    <n v="99"/>
    <s v="Veg"/>
    <m/>
    <x v="0"/>
  </r>
  <r>
    <s v="CS-250414-0207"/>
    <x v="15"/>
    <s v="Tuesday"/>
    <x v="0"/>
    <s v="SUBSCRIPTION"/>
    <x v="87"/>
    <n v="2"/>
    <n v="99"/>
    <s v="Veg"/>
    <m/>
    <x v="0"/>
  </r>
  <r>
    <s v="CS-250414-0214"/>
    <x v="15"/>
    <s v="Tuesday"/>
    <x v="0"/>
    <s v="SUBSCRIPTION"/>
    <x v="120"/>
    <n v="1"/>
    <n v="99"/>
    <s v="Veg"/>
    <m/>
    <x v="0"/>
  </r>
  <r>
    <s v="CS-250415-0040"/>
    <x v="15"/>
    <s v="Tuesday"/>
    <x v="0"/>
    <s v="REGULAR"/>
    <x v="9"/>
    <n v="1"/>
    <m/>
    <s v="Veg"/>
    <m/>
    <x v="1"/>
  </r>
  <r>
    <m/>
    <x v="1"/>
    <m/>
    <x v="3"/>
    <m/>
    <x v="45"/>
    <n v="1"/>
    <m/>
    <s v="Veg"/>
    <m/>
    <x v="1"/>
  </r>
  <r>
    <s v="CS-250415-0061"/>
    <x v="15"/>
    <s v="Tuesday"/>
    <x v="0"/>
    <s v="REGULAR"/>
    <x v="60"/>
    <n v="1"/>
    <n v="440"/>
    <s v="Non-veg"/>
    <m/>
    <x v="1"/>
  </r>
  <r>
    <m/>
    <x v="1"/>
    <m/>
    <x v="3"/>
    <m/>
    <x v="121"/>
    <n v="1"/>
    <m/>
    <s v="Non-veg"/>
    <m/>
    <x v="1"/>
  </r>
  <r>
    <m/>
    <x v="1"/>
    <m/>
    <x v="3"/>
    <m/>
    <x v="45"/>
    <n v="1"/>
    <m/>
    <s v="Veg"/>
    <m/>
    <x v="1"/>
  </r>
  <r>
    <s v="CS-250415-0098"/>
    <x v="15"/>
    <s v="Tuesday"/>
    <x v="0"/>
    <s v="REGULAR"/>
    <x v="27"/>
    <n v="2"/>
    <n v="160"/>
    <s v="Veg"/>
    <m/>
    <x v="1"/>
  </r>
  <r>
    <s v="CS-250415-0161"/>
    <x v="16"/>
    <s v="Wednesday"/>
    <x v="1"/>
    <s v="SUBSCRIPTION"/>
    <x v="13"/>
    <n v="1"/>
    <n v="112"/>
    <s v="Non-veg"/>
    <m/>
    <x v="0"/>
  </r>
  <r>
    <s v="CS-250415-0159"/>
    <x v="16"/>
    <s v="Wednesday"/>
    <x v="2"/>
    <s v="SUBSCRIPTION"/>
    <x v="15"/>
    <n v="2"/>
    <n v="158"/>
    <s v="Veg"/>
    <m/>
    <x v="0"/>
  </r>
  <r>
    <s v="CS-250415-0167"/>
    <x v="16"/>
    <s v="Wednesday"/>
    <x v="1"/>
    <s v="SUBSCRIPTION"/>
    <x v="11"/>
    <n v="1"/>
    <n v="99"/>
    <s v="Non-veg"/>
    <m/>
    <x v="0"/>
  </r>
  <r>
    <s v="CS-250415-0166"/>
    <x v="16"/>
    <s v="Wednesday"/>
    <x v="2"/>
    <s v="SUBSCRIPTION"/>
    <x v="16"/>
    <n v="1"/>
    <n v="149"/>
    <s v="Non-veg"/>
    <m/>
    <x v="0"/>
  </r>
  <r>
    <s v="CS-250415-0179"/>
    <x v="16"/>
    <s v="Wednesday"/>
    <x v="0"/>
    <s v="SUBSCRIPTION"/>
    <x v="122"/>
    <n v="1"/>
    <n v="112"/>
    <s v="Veg"/>
    <m/>
    <x v="0"/>
  </r>
  <r>
    <s v="CS-250415-0176"/>
    <x v="16"/>
    <s v="Wednesday"/>
    <x v="0"/>
    <s v="SUBSCRIPTION"/>
    <x v="14"/>
    <n v="1"/>
    <n v="179"/>
    <s v="Non-veg"/>
    <m/>
    <x v="0"/>
  </r>
  <r>
    <s v="CS-250415-0188"/>
    <x v="16"/>
    <s v="Wednesday"/>
    <x v="0"/>
    <s v="SUBSCRIPTION"/>
    <x v="102"/>
    <n v="2"/>
    <n v="198"/>
    <s v="Veg"/>
    <m/>
    <x v="0"/>
  </r>
  <r>
    <s v="CS-250415-0181"/>
    <x v="16"/>
    <s v="Wednesday"/>
    <x v="0"/>
    <s v="SUBSCRIPTION"/>
    <x v="14"/>
    <n v="1"/>
    <n v="179"/>
    <s v="Non-veg"/>
    <m/>
    <x v="0"/>
  </r>
  <r>
    <s v="CS-250415-0183"/>
    <x v="16"/>
    <s v="Wednesday"/>
    <x v="0"/>
    <s v="REGULAR"/>
    <x v="123"/>
    <n v="1"/>
    <m/>
    <s v="Veg"/>
    <m/>
    <x v="1"/>
  </r>
  <r>
    <s v="CS-250416-0041"/>
    <x v="16"/>
    <s v="Wednesday"/>
    <x v="0"/>
    <s v="REGULAR"/>
    <x v="36"/>
    <n v="1"/>
    <n v="330"/>
    <s v="Non-veg"/>
    <m/>
    <x v="1"/>
  </r>
  <r>
    <m/>
    <x v="1"/>
    <m/>
    <x v="3"/>
    <m/>
    <x v="63"/>
    <n v="1"/>
    <m/>
    <s v="Non-veg"/>
    <m/>
    <x v="1"/>
  </r>
  <r>
    <s v="CS-250416-0059"/>
    <x v="16"/>
    <s v="Wednesday"/>
    <x v="0"/>
    <s v="REGULAR"/>
    <x v="124"/>
    <n v="1"/>
    <n v="170"/>
    <s v="Non-veg"/>
    <m/>
    <x v="1"/>
  </r>
  <r>
    <s v="CS-250416-0074"/>
    <x v="16"/>
    <s v="Wednesday"/>
    <x v="0"/>
    <s v="REGULAR"/>
    <x v="63"/>
    <n v="1"/>
    <n v="170"/>
    <s v="Non-veg"/>
    <m/>
    <x v="1"/>
  </r>
  <r>
    <s v="CS-250416-0105"/>
    <x v="16"/>
    <s v="Wednesday"/>
    <x v="0"/>
    <s v="REGULAR"/>
    <x v="17"/>
    <n v="1"/>
    <n v="200"/>
    <s v="Veg"/>
    <m/>
    <x v="1"/>
  </r>
  <r>
    <m/>
    <x v="1"/>
    <m/>
    <x v="3"/>
    <m/>
    <x v="46"/>
    <n v="1"/>
    <m/>
    <s v="Non-veg"/>
    <m/>
    <x v="1"/>
  </r>
  <r>
    <s v="CS-250416-0107"/>
    <x v="16"/>
    <s v="Wednesday"/>
    <x v="0"/>
    <s v="REGULAR"/>
    <x v="93"/>
    <n v="1"/>
    <n v="330"/>
    <s v="Non-veg"/>
    <m/>
    <x v="1"/>
  </r>
  <r>
    <s v="CS-250416-0110"/>
    <x v="16"/>
    <s v="Wednesday"/>
    <x v="0"/>
    <s v="REGULAR"/>
    <x v="124"/>
    <n v="1"/>
    <n v="400"/>
    <s v="Non-veg"/>
    <m/>
    <x v="1"/>
  </r>
  <r>
    <m/>
    <x v="1"/>
    <m/>
    <x v="3"/>
    <m/>
    <x v="28"/>
    <n v="1"/>
    <m/>
    <s v="Veg"/>
    <m/>
    <x v="1"/>
  </r>
  <r>
    <m/>
    <x v="1"/>
    <m/>
    <x v="3"/>
    <m/>
    <x v="125"/>
    <n v="1"/>
    <m/>
    <s v="Non-veg"/>
    <m/>
    <x v="1"/>
  </r>
  <r>
    <s v="CS-250416-0199"/>
    <x v="17"/>
    <s v="Thursday"/>
    <x v="0"/>
    <s v="SUBSCRIPTION"/>
    <x v="21"/>
    <n v="1"/>
    <n v="99"/>
    <s v="Non-veg"/>
    <m/>
    <x v="0"/>
  </r>
  <r>
    <s v="CS-250416-0200"/>
    <x v="17"/>
    <s v="Thursday"/>
    <x v="2"/>
    <s v="SUBSCRIPTION"/>
    <x v="25"/>
    <n v="1"/>
    <n v="117"/>
    <s v="Non-veg"/>
    <m/>
    <x v="0"/>
  </r>
  <r>
    <s v="CS-250416-0209"/>
    <x v="17"/>
    <s v="Thursday"/>
    <x v="1"/>
    <s v="SUBSCRIPTION"/>
    <x v="23"/>
    <n v="1"/>
    <n v="149"/>
    <s v="Non-veg"/>
    <m/>
    <x v="0"/>
  </r>
  <r>
    <s v="CS-250416-0210"/>
    <x v="17"/>
    <s v="Thursday"/>
    <x v="1"/>
    <s v="SUBSCRIPTION"/>
    <x v="19"/>
    <n v="1"/>
    <n v="117"/>
    <s v="Veg"/>
    <m/>
    <x v="0"/>
  </r>
  <r>
    <s v="CS-250416-0212"/>
    <x v="17"/>
    <s v="Thursday"/>
    <x v="2"/>
    <s v="SUBSCRIPTION"/>
    <x v="22"/>
    <n v="2"/>
    <n v="158"/>
    <s v="Veg"/>
    <m/>
    <x v="0"/>
  </r>
  <r>
    <s v="CS-250416-0217"/>
    <x v="17"/>
    <s v="Thursday"/>
    <x v="0"/>
    <s v="SUBSCRIPTION"/>
    <x v="126"/>
    <n v="1"/>
    <n v="129"/>
    <s v="Veg"/>
    <m/>
    <x v="0"/>
  </r>
  <r>
    <s v="CS-250416-0224"/>
    <x v="17"/>
    <s v="Thursday"/>
    <x v="0"/>
    <s v="SUBSCRIPTION"/>
    <x v="127"/>
    <n v="1"/>
    <n v="129"/>
    <s v="Veg"/>
    <m/>
    <x v="0"/>
  </r>
  <r>
    <s v="CS-250416-0225"/>
    <x v="17"/>
    <s v="Thursday"/>
    <x v="0"/>
    <s v="SUBSCRIPTION"/>
    <x v="106"/>
    <n v="2"/>
    <n v="198"/>
    <s v="Veg"/>
    <m/>
    <x v="0"/>
  </r>
  <r>
    <s v="CS-250416-0205"/>
    <x v="17"/>
    <s v="Thursday"/>
    <x v="0"/>
    <s v="SUBSCRIPTION"/>
    <x v="21"/>
    <n v="1"/>
    <n v="99"/>
    <s v="Non-veg"/>
    <m/>
    <x v="0"/>
  </r>
  <r>
    <s v="CS-250417-0062"/>
    <x v="17"/>
    <s v="Thursday"/>
    <x v="0"/>
    <s v="REGULAR"/>
    <x v="86"/>
    <n v="1"/>
    <n v="450"/>
    <s v="Veg"/>
    <m/>
    <x v="1"/>
  </r>
  <r>
    <m/>
    <x v="1"/>
    <m/>
    <x v="3"/>
    <m/>
    <x v="128"/>
    <n v="1"/>
    <m/>
    <s v="Veg"/>
    <m/>
    <x v="1"/>
  </r>
  <r>
    <m/>
    <x v="1"/>
    <m/>
    <x v="3"/>
    <m/>
    <x v="91"/>
    <n v="1"/>
    <m/>
    <s v="Non-veg"/>
    <m/>
    <x v="1"/>
  </r>
  <r>
    <m/>
    <x v="1"/>
    <m/>
    <x v="3"/>
    <m/>
    <x v="35"/>
    <n v="1"/>
    <m/>
    <s v="Veg"/>
    <m/>
    <x v="1"/>
  </r>
  <r>
    <s v="CS-250417-0078"/>
    <x v="17"/>
    <s v="Thursday"/>
    <x v="0"/>
    <s v="REGULAR"/>
    <x v="32"/>
    <n v="1"/>
    <n v="190"/>
    <s v="Veg"/>
    <m/>
    <x v="1"/>
  </r>
  <r>
    <s v="CS-250417-0094"/>
    <x v="17"/>
    <s v="Thursday"/>
    <x v="0"/>
    <s v="REGULAR"/>
    <x v="33"/>
    <n v="1"/>
    <n v="140"/>
    <s v="Veg"/>
    <m/>
    <x v="1"/>
  </r>
  <r>
    <m/>
    <x v="1"/>
    <m/>
    <x v="3"/>
    <m/>
    <x v="46"/>
    <n v="1"/>
    <m/>
    <s v="Non-veg"/>
    <m/>
    <x v="1"/>
  </r>
  <r>
    <s v="CS-250417-0161"/>
    <x v="17"/>
    <s v="Thursday"/>
    <x v="0"/>
    <s v="REGULAR"/>
    <x v="59"/>
    <n v="1"/>
    <n v="280"/>
    <s v="Non-veg"/>
    <m/>
    <x v="1"/>
  </r>
  <r>
    <m/>
    <x v="1"/>
    <m/>
    <x v="3"/>
    <m/>
    <x v="96"/>
    <n v="1"/>
    <m/>
    <s v="Veg"/>
    <m/>
    <x v="1"/>
  </r>
  <r>
    <s v="CS-250417-0025"/>
    <x v="18"/>
    <s v="Friday"/>
    <x v="0"/>
    <s v="REGULAR"/>
    <x v="92"/>
    <n v="1"/>
    <n v="290"/>
    <s v="Veg"/>
    <m/>
    <x v="1"/>
  </r>
  <r>
    <m/>
    <x v="1"/>
    <m/>
    <x v="3"/>
    <m/>
    <x v="46"/>
    <n v="1"/>
    <m/>
    <s v="Non-veg"/>
    <m/>
    <x v="1"/>
  </r>
  <r>
    <m/>
    <x v="1"/>
    <m/>
    <x v="3"/>
    <m/>
    <x v="96"/>
    <n v="1"/>
    <m/>
    <s v="Veg"/>
    <m/>
    <x v="1"/>
  </r>
  <r>
    <s v="CS-250417-0191"/>
    <x v="18"/>
    <s v="Friday"/>
    <x v="2"/>
    <s v="SUBSCRIPTION"/>
    <x v="38"/>
    <n v="1"/>
    <n v="99"/>
    <s v="Veg"/>
    <m/>
    <x v="0"/>
  </r>
  <r>
    <s v="CS-250417-0197"/>
    <x v="18"/>
    <s v="Friday"/>
    <x v="0"/>
    <s v="SUBSCRIPTION"/>
    <x v="44"/>
    <n v="1"/>
    <n v="129"/>
    <s v="Non-veg"/>
    <m/>
    <x v="0"/>
  </r>
  <r>
    <s v="CS-250417-0202"/>
    <x v="18"/>
    <s v="Friday"/>
    <x v="1"/>
    <s v="SUBSCRIPTION"/>
    <x v="37"/>
    <n v="1"/>
    <n v="99"/>
    <s v="Veg"/>
    <m/>
    <x v="0"/>
  </r>
  <r>
    <s v="CS-250417-0208"/>
    <x v="18"/>
    <s v="Friday"/>
    <x v="0"/>
    <s v="SUBSCRIPTION"/>
    <x v="109"/>
    <n v="2"/>
    <n v="99"/>
    <s v="Veg"/>
    <m/>
    <x v="0"/>
  </r>
  <r>
    <s v="CS-250417-0203"/>
    <x v="18"/>
    <s v="Friday"/>
    <x v="0"/>
    <s v="SUBSCRIPTION"/>
    <x v="129"/>
    <n v="1"/>
    <n v="129"/>
    <s v="Veg"/>
    <m/>
    <x v="0"/>
  </r>
  <r>
    <s v="CS-250418-0041"/>
    <x v="18"/>
    <s v="Friday"/>
    <x v="0"/>
    <s v="REGULAR"/>
    <x v="27"/>
    <n v="1"/>
    <n v="335"/>
    <s v="Veg"/>
    <m/>
    <x v="1"/>
  </r>
  <r>
    <m/>
    <x v="1"/>
    <m/>
    <x v="3"/>
    <m/>
    <x v="46"/>
    <n v="1"/>
    <m/>
    <s v="Non-veg"/>
    <m/>
    <x v="1"/>
  </r>
  <r>
    <m/>
    <x v="1"/>
    <m/>
    <x v="3"/>
    <m/>
    <x v="130"/>
    <n v="1"/>
    <m/>
    <s v="Non-veg"/>
    <m/>
    <x v="1"/>
  </r>
  <r>
    <m/>
    <x v="1"/>
    <m/>
    <x v="3"/>
    <m/>
    <x v="9"/>
    <n v="1"/>
    <m/>
    <s v="Veg"/>
    <m/>
    <x v="1"/>
  </r>
  <r>
    <s v="CS-250418-0059"/>
    <x v="18"/>
    <s v="Friday"/>
    <x v="0"/>
    <s v="REGULAR"/>
    <x v="31"/>
    <n v="1"/>
    <n v="280"/>
    <s v="Veg"/>
    <m/>
    <x v="1"/>
  </r>
  <r>
    <s v="CS-250418-0060"/>
    <x v="18"/>
    <s v="Friday"/>
    <x v="0"/>
    <s v="REGULAR"/>
    <x v="103"/>
    <n v="1"/>
    <n v="220"/>
    <s v="Veg"/>
    <m/>
    <x v="1"/>
  </r>
  <r>
    <m/>
    <x v="1"/>
    <m/>
    <x v="3"/>
    <m/>
    <x v="9"/>
    <n v="1"/>
    <m/>
    <s v="Veg"/>
    <m/>
    <x v="1"/>
  </r>
  <r>
    <m/>
    <x v="1"/>
    <m/>
    <x v="3"/>
    <m/>
    <x v="104"/>
    <n v="1"/>
    <m/>
    <s v="Veg"/>
    <m/>
    <x v="1"/>
  </r>
  <r>
    <s v="CS-250418-0093"/>
    <x v="18"/>
    <s v="Friday"/>
    <x v="0"/>
    <s v="REGULAR"/>
    <x v="96"/>
    <n v="1"/>
    <n v="220"/>
    <s v="Veg"/>
    <m/>
    <x v="1"/>
  </r>
  <r>
    <m/>
    <x v="1"/>
    <m/>
    <x v="3"/>
    <m/>
    <x v="131"/>
    <n v="1"/>
    <m/>
    <s v="Non-veg"/>
    <m/>
    <x v="1"/>
  </r>
  <r>
    <s v="CS-250418-0094"/>
    <x v="18"/>
    <s v="Friday"/>
    <x v="0"/>
    <s v="REGULAR"/>
    <x v="50"/>
    <n v="1"/>
    <n v="190"/>
    <s v="Non-veg"/>
    <m/>
    <x v="1"/>
  </r>
  <r>
    <s v="CS-250418-0097"/>
    <x v="18"/>
    <s v="Friday"/>
    <x v="0"/>
    <s v="REGULAR"/>
    <x v="76"/>
    <n v="1"/>
    <n v="260"/>
    <s v="Non-veg"/>
    <m/>
    <x v="1"/>
  </r>
  <r>
    <m/>
    <x v="1"/>
    <m/>
    <x v="3"/>
    <m/>
    <x v="34"/>
    <n v="1"/>
    <m/>
    <s v="Veg"/>
    <m/>
    <x v="1"/>
  </r>
  <r>
    <s v="CS-250418-0113"/>
    <x v="18"/>
    <s v="Friday"/>
    <x v="0"/>
    <s v="REGULAR"/>
    <x v="59"/>
    <n v="1"/>
    <n v="120"/>
    <s v="Non-veg"/>
    <m/>
    <x v="1"/>
  </r>
  <r>
    <s v="CS-250418-0136"/>
    <x v="18"/>
    <s v="Friday"/>
    <x v="0"/>
    <s v="REGULAR"/>
    <x v="108"/>
    <n v="1"/>
    <n v="330"/>
    <s v="Non-veg"/>
    <m/>
    <x v="1"/>
  </r>
  <r>
    <m/>
    <x v="1"/>
    <m/>
    <x v="3"/>
    <m/>
    <x v="86"/>
    <n v="1"/>
    <m/>
    <s v="Veg"/>
    <m/>
    <x v="1"/>
  </r>
  <r>
    <s v="CS-250418-0155"/>
    <x v="18"/>
    <s v="Friday"/>
    <x v="0"/>
    <s v="REGULAR"/>
    <x v="98"/>
    <n v="1"/>
    <n v="220"/>
    <s v="Veg"/>
    <m/>
    <x v="1"/>
  </r>
  <r>
    <m/>
    <x v="1"/>
    <m/>
    <x v="3"/>
    <m/>
    <x v="33"/>
    <n v="1"/>
    <m/>
    <s v="Veg"/>
    <m/>
    <x v="1"/>
  </r>
  <r>
    <m/>
    <x v="1"/>
    <m/>
    <x v="3"/>
    <m/>
    <x v="131"/>
    <n v="1"/>
    <m/>
    <s v="Non-veg"/>
    <m/>
    <x v="1"/>
  </r>
  <r>
    <s v="CS-250418-0156"/>
    <x v="18"/>
    <s v="Friday"/>
    <x v="0"/>
    <s v="REGULAR"/>
    <x v="51"/>
    <n v="2"/>
    <n v="260"/>
    <s v="Veg"/>
    <m/>
    <x v="1"/>
  </r>
  <r>
    <m/>
    <x v="1"/>
    <m/>
    <x v="3"/>
    <m/>
    <x v="45"/>
    <n v="1"/>
    <m/>
    <s v="Veg"/>
    <m/>
    <x v="1"/>
  </r>
  <r>
    <s v="CS-250418-0209"/>
    <x v="19"/>
    <s v="Saturday"/>
    <x v="2"/>
    <s v="SUBSCRIPTION"/>
    <x v="55"/>
    <n v="1"/>
    <n v="79"/>
    <s v="Veg"/>
    <m/>
    <x v="0"/>
  </r>
  <r>
    <s v="CS-250418-0210"/>
    <x v="19"/>
    <s v="Saturday"/>
    <x v="2"/>
    <s v="SUBSCRIPTION"/>
    <x v="55"/>
    <n v="2"/>
    <n v="158"/>
    <s v="Veg"/>
    <m/>
    <x v="0"/>
  </r>
  <r>
    <s v="CS-250418-0211"/>
    <x v="19"/>
    <s v="Saturday"/>
    <x v="1"/>
    <s v="SUBSCRIPTION"/>
    <x v="110"/>
    <n v="1"/>
    <n v="79"/>
    <s v="Veg"/>
    <m/>
    <x v="0"/>
  </r>
  <r>
    <s v="CS-250418-0212"/>
    <x v="19"/>
    <s v="Saturday"/>
    <x v="0"/>
    <s v="SUBSCRIPTION"/>
    <x v="111"/>
    <n v="1"/>
    <n v="149"/>
    <s v="Non-veg"/>
    <m/>
    <x v="0"/>
  </r>
  <r>
    <s v="CS-250418-0226"/>
    <x v="19"/>
    <s v="Saturday"/>
    <x v="0"/>
    <s v="SUBSCRIPTION"/>
    <x v="113"/>
    <n v="1"/>
    <n v="129"/>
    <s v="Veg"/>
    <m/>
    <x v="0"/>
  </r>
  <r>
    <s v="CS-250418-0219"/>
    <x v="19"/>
    <s v="Saturday"/>
    <x v="0"/>
    <s v="SUBSCRIPTION"/>
    <x v="112"/>
    <n v="2"/>
    <n v="99"/>
    <s v="Veg"/>
    <m/>
    <x v="0"/>
  </r>
  <r>
    <s v="CS-250418-0222"/>
    <x v="19"/>
    <s v="Saturday"/>
    <x v="0"/>
    <s v="SUBSCRIPTION"/>
    <x v="111"/>
    <n v="1"/>
    <n v="129"/>
    <s v="Non-veg"/>
    <m/>
    <x v="0"/>
  </r>
  <r>
    <s v="CS-250418-0213"/>
    <x v="19"/>
    <s v="Saturday"/>
    <x v="1"/>
    <s v="SUBSCRIPTION"/>
    <x v="110"/>
    <n v="1"/>
    <n v="79"/>
    <s v="Veg"/>
    <m/>
    <x v="0"/>
  </r>
  <r>
    <s v="CS-250418-0229"/>
    <x v="19"/>
    <s v="Saturday"/>
    <x v="2"/>
    <s v="SUBSCRIPTION"/>
    <x v="55"/>
    <n v="1"/>
    <n v="79"/>
    <s v="Veg"/>
    <m/>
    <x v="0"/>
  </r>
  <r>
    <s v="CS-250419-0040"/>
    <x v="19"/>
    <s v="Saturday"/>
    <x v="0"/>
    <s v="REGULAR"/>
    <x v="125"/>
    <n v="1"/>
    <n v="170"/>
    <s v="Non-veg"/>
    <m/>
    <x v="1"/>
  </r>
  <r>
    <s v="CS-250419-0053"/>
    <x v="19"/>
    <s v="Saturday"/>
    <x v="0"/>
    <s v="REGULAR"/>
    <x v="45"/>
    <n v="1"/>
    <n v="520"/>
    <s v="Veg"/>
    <m/>
    <x v="1"/>
  </r>
  <r>
    <m/>
    <x v="1"/>
    <m/>
    <x v="3"/>
    <m/>
    <x v="121"/>
    <n v="1"/>
    <m/>
    <s v="Non-veg"/>
    <m/>
    <x v="1"/>
  </r>
  <r>
    <m/>
    <x v="1"/>
    <m/>
    <x v="3"/>
    <m/>
    <x v="98"/>
    <n v="1"/>
    <m/>
    <s v="Veg"/>
    <m/>
    <x v="1"/>
  </r>
  <r>
    <m/>
    <x v="1"/>
    <m/>
    <x v="3"/>
    <m/>
    <x v="92"/>
    <n v="1"/>
    <m/>
    <s v="Veg"/>
    <m/>
    <x v="1"/>
  </r>
  <r>
    <s v="CS-250419-0063"/>
    <x v="19"/>
    <s v="Saturday"/>
    <x v="0"/>
    <s v="REGULAR"/>
    <x v="45"/>
    <n v="1"/>
    <n v="390"/>
    <s v="Veg"/>
    <m/>
    <x v="1"/>
  </r>
  <r>
    <m/>
    <x v="1"/>
    <m/>
    <x v="3"/>
    <m/>
    <x v="51"/>
    <n v="1"/>
    <m/>
    <s v="Veg"/>
    <m/>
    <x v="1"/>
  </r>
  <r>
    <m/>
    <x v="1"/>
    <m/>
    <x v="3"/>
    <m/>
    <x v="132"/>
    <n v="1"/>
    <m/>
    <s v="Veg"/>
    <m/>
    <x v="1"/>
  </r>
  <r>
    <m/>
    <x v="1"/>
    <m/>
    <x v="3"/>
    <m/>
    <x v="61"/>
    <n v="1"/>
    <m/>
    <s v="Veg"/>
    <m/>
    <x v="1"/>
  </r>
  <r>
    <m/>
    <x v="1"/>
    <m/>
    <x v="3"/>
    <m/>
    <x v="9"/>
    <n v="1"/>
    <m/>
    <s v="Veg"/>
    <m/>
    <x v="1"/>
  </r>
  <r>
    <s v="CS-250419-0080"/>
    <x v="19"/>
    <s v="Saturday"/>
    <x v="0"/>
    <s v="REGULAR"/>
    <x v="128"/>
    <n v="1"/>
    <n v="305"/>
    <s v="Veg"/>
    <m/>
    <x v="1"/>
  </r>
  <r>
    <m/>
    <x v="1"/>
    <m/>
    <x v="3"/>
    <m/>
    <x v="61"/>
    <n v="1"/>
    <m/>
    <s v="Veg"/>
    <m/>
    <x v="1"/>
  </r>
  <r>
    <m/>
    <x v="1"/>
    <m/>
    <x v="3"/>
    <m/>
    <x v="51"/>
    <n v="1"/>
    <m/>
    <s v="Veg"/>
    <m/>
    <x v="1"/>
  </r>
  <r>
    <m/>
    <x v="1"/>
    <m/>
    <x v="3"/>
    <m/>
    <x v="35"/>
    <n v="1"/>
    <m/>
    <s v="Veg"/>
    <m/>
    <x v="1"/>
  </r>
  <r>
    <s v="CS-250419-0086"/>
    <x v="19"/>
    <s v="Saturday"/>
    <x v="0"/>
    <s v="REGULAR"/>
    <x v="103"/>
    <n v="1"/>
    <n v="380"/>
    <s v="Veg"/>
    <m/>
    <x v="1"/>
  </r>
  <r>
    <m/>
    <x v="1"/>
    <m/>
    <x v="3"/>
    <m/>
    <x v="49"/>
    <n v="5"/>
    <m/>
    <s v="Non-veg"/>
    <m/>
    <x v="1"/>
  </r>
  <r>
    <s v="CS-250419-0132"/>
    <x v="19"/>
    <s v="Saturday"/>
    <x v="0"/>
    <s v="REGULAR"/>
    <x v="75"/>
    <n v="1"/>
    <n v="650"/>
    <s v="Non-veg"/>
    <m/>
    <x v="1"/>
  </r>
  <r>
    <m/>
    <x v="1"/>
    <m/>
    <x v="3"/>
    <m/>
    <x v="17"/>
    <n v="1"/>
    <m/>
    <s v="Veg"/>
    <m/>
    <x v="1"/>
  </r>
  <r>
    <m/>
    <x v="1"/>
    <m/>
    <x v="3"/>
    <m/>
    <x v="91"/>
    <n v="1"/>
    <m/>
    <s v="Non-veg"/>
    <m/>
    <x v="1"/>
  </r>
  <r>
    <m/>
    <x v="1"/>
    <m/>
    <x v="3"/>
    <m/>
    <x v="50"/>
    <n v="1"/>
    <m/>
    <s v="Non-veg"/>
    <m/>
    <x v="1"/>
  </r>
  <r>
    <s v="CS-250419-0147"/>
    <x v="19"/>
    <s v="Saturday"/>
    <x v="0"/>
    <s v="REGULAR"/>
    <x v="108"/>
    <n v="1"/>
    <n v="200"/>
    <s v="Non-veg"/>
    <m/>
    <x v="1"/>
  </r>
  <r>
    <s v="CS-250419-0207"/>
    <x v="20"/>
    <s v="Sunday"/>
    <x v="0"/>
    <s v="SUBSCRIPTION"/>
    <x v="68"/>
    <n v="1"/>
    <n v="129"/>
    <s v="Non-veg"/>
    <m/>
    <x v="0"/>
  </r>
  <r>
    <s v="CS-250419-0208"/>
    <x v="20"/>
    <s v="Sunday"/>
    <x v="2"/>
    <s v="SUBSCRIPTION"/>
    <x v="70"/>
    <n v="1"/>
    <n v="117"/>
    <s v="Non-veg"/>
    <m/>
    <x v="0"/>
  </r>
  <r>
    <s v="CS-250419-0216"/>
    <x v="20"/>
    <s v="Sunday"/>
    <x v="1"/>
    <s v="SUBSCRIPTION"/>
    <x v="66"/>
    <n v="1"/>
    <n v="129"/>
    <s v="Non-veg"/>
    <m/>
    <x v="0"/>
  </r>
  <r>
    <s v="CS-250419-0219"/>
    <x v="20"/>
    <s v="Sunday"/>
    <x v="0"/>
    <s v="SUBSCRIPTION"/>
    <x v="133"/>
    <n v="1"/>
    <n v="99"/>
    <s v="Veg"/>
    <m/>
    <x v="0"/>
  </r>
  <r>
    <s v="CS-250419-0268"/>
    <x v="20"/>
    <s v="Sunday"/>
    <x v="0"/>
    <s v="REGULAR"/>
    <x v="97"/>
    <n v="2"/>
    <n v="580"/>
    <s v="Non-veg"/>
    <m/>
    <x v="1"/>
  </r>
  <r>
    <s v="CS-250419-0288"/>
    <x v="20"/>
    <s v="Sunday"/>
    <x v="0"/>
    <s v="REGULAR"/>
    <x v="93"/>
    <n v="1"/>
    <n v="480"/>
    <s v="Non-veg"/>
    <m/>
    <x v="1"/>
  </r>
  <r>
    <m/>
    <x v="1"/>
    <m/>
    <x v="3"/>
    <m/>
    <x v="91"/>
    <n v="1"/>
    <m/>
    <s v="Non-veg"/>
    <m/>
    <x v="1"/>
  </r>
  <r>
    <s v="CS-250420-0006"/>
    <x v="20"/>
    <s v="Sunday"/>
    <x v="0"/>
    <s v="REGULAR"/>
    <x v="75"/>
    <n v="1"/>
    <n v="310"/>
    <s v="Non-veg"/>
    <m/>
    <x v="1"/>
  </r>
  <r>
    <m/>
    <x v="1"/>
    <m/>
    <x v="3"/>
    <m/>
    <x v="60"/>
    <n v="1"/>
    <m/>
    <s v="Non-veg"/>
    <m/>
    <x v="1"/>
  </r>
  <r>
    <s v="CS-250420-0008"/>
    <x v="20"/>
    <s v="Sunday"/>
    <x v="0"/>
    <s v="REGULAR"/>
    <x v="93"/>
    <n v="1"/>
    <n v="330"/>
    <s v="Non-veg"/>
    <m/>
    <x v="1"/>
  </r>
  <r>
    <s v="CS-250420-0012"/>
    <x v="20"/>
    <s v="Sunday"/>
    <x v="0"/>
    <s v="REGULAR"/>
    <x v="93"/>
    <n v="1"/>
    <n v="330"/>
    <s v="Non-veg"/>
    <m/>
    <x v="1"/>
  </r>
  <r>
    <s v="CS-250420-0032"/>
    <x v="20"/>
    <s v="Sunday"/>
    <x v="0"/>
    <s v="REGULAR"/>
    <x v="35"/>
    <n v="2"/>
    <n v="160"/>
    <s v="Veg"/>
    <m/>
    <x v="1"/>
  </r>
  <r>
    <s v="CS-250420-0045"/>
    <x v="20"/>
    <s v="Sunday"/>
    <x v="0"/>
    <s v="REGULAR"/>
    <x v="32"/>
    <n v="1"/>
    <n v="190"/>
    <s v="Veg"/>
    <m/>
    <x v="1"/>
  </r>
  <r>
    <s v="CS-250420-0090"/>
    <x v="20"/>
    <s v="Sunday"/>
    <x v="0"/>
    <s v="REGULAR"/>
    <x v="50"/>
    <n v="1"/>
    <n v="440"/>
    <s v="Non-veg"/>
    <m/>
    <x v="1"/>
  </r>
  <r>
    <m/>
    <x v="1"/>
    <m/>
    <x v="3"/>
    <m/>
    <x v="58"/>
    <n v="1"/>
    <m/>
    <s v="Non-veg"/>
    <m/>
    <x v="1"/>
  </r>
  <r>
    <m/>
    <x v="1"/>
    <m/>
    <x v="3"/>
    <m/>
    <x v="75"/>
    <n v="1"/>
    <m/>
    <s v="Non-veg"/>
    <m/>
    <x v="1"/>
  </r>
  <r>
    <s v="CS-250420-0097"/>
    <x v="20"/>
    <s v="Sunday"/>
    <x v="0"/>
    <s v="REGULAR"/>
    <x v="93"/>
    <n v="1"/>
    <n v="330"/>
    <s v="Non-veg"/>
    <m/>
    <x v="1"/>
  </r>
  <r>
    <s v="CS-250420-0230"/>
    <x v="20"/>
    <s v="Sunday"/>
    <x v="0"/>
    <s v="REGULAR"/>
    <x v="32"/>
    <n v="1"/>
    <n v="190"/>
    <s v="Veg"/>
    <m/>
    <x v="1"/>
  </r>
  <r>
    <s v="CS-250420-0295"/>
    <x v="21"/>
    <s v="Monday"/>
    <x v="0"/>
    <s v="SUBSCRIPTION"/>
    <x v="117"/>
    <n v="1"/>
    <n v="129"/>
    <s v="Veg"/>
    <m/>
    <x v="0"/>
  </r>
  <r>
    <s v="CS-250420-0293"/>
    <x v="21"/>
    <s v="Monday"/>
    <x v="0"/>
    <s v="SUBSCRIPTION"/>
    <x v="82"/>
    <n v="1"/>
    <n v="117"/>
    <s v="Veg"/>
    <m/>
    <x v="0"/>
  </r>
  <r>
    <s v="CS-250420-0301"/>
    <x v="21"/>
    <s v="Monday"/>
    <x v="2"/>
    <s v="SUBSCRIPTION"/>
    <x v="80"/>
    <n v="1"/>
    <n v="99"/>
    <s v="Veg"/>
    <m/>
    <x v="0"/>
  </r>
  <r>
    <s v="CS-250420-0302"/>
    <x v="21"/>
    <s v="Monday"/>
    <x v="1"/>
    <s v="SUBSCRIPTION"/>
    <x v="78"/>
    <n v="1"/>
    <n v="79"/>
    <s v="Veg"/>
    <m/>
    <x v="0"/>
  </r>
  <r>
    <s v="CS-250420-0307"/>
    <x v="21"/>
    <s v="Monday"/>
    <x v="1"/>
    <s v="SUBSCRIPTION"/>
    <x v="78"/>
    <n v="1"/>
    <n v="79"/>
    <s v="Veg"/>
    <m/>
    <x v="0"/>
  </r>
  <r>
    <s v="CS-250421-0157"/>
    <x v="22"/>
    <s v="Tuesday"/>
    <x v="2"/>
    <s v="SUBSCRIPTION"/>
    <x v="88"/>
    <n v="1"/>
    <n v="99"/>
    <s v="Veg"/>
    <m/>
    <x v="0"/>
  </r>
  <r>
    <s v="CS-250421-0162"/>
    <x v="22"/>
    <s v="Tuesday"/>
    <x v="1"/>
    <s v="SUBSCRIPTION"/>
    <x v="2"/>
    <n v="1"/>
    <n v="99"/>
    <s v="Veg"/>
    <m/>
    <x v="0"/>
  </r>
  <r>
    <s v="CS-250421-0159"/>
    <x v="22"/>
    <s v="Tuesday"/>
    <x v="0"/>
    <s v="SUBSCRIPTION"/>
    <x v="119"/>
    <n v="1"/>
    <n v="129"/>
    <s v="Veg"/>
    <m/>
    <x v="0"/>
  </r>
  <r>
    <s v="CS-250421-0188"/>
    <x v="22"/>
    <s v="Tuesday"/>
    <x v="2"/>
    <s v="SUBSCRIPTION"/>
    <x v="88"/>
    <n v="1"/>
    <n v="99"/>
    <s v="Veg"/>
    <m/>
    <x v="0"/>
  </r>
  <r>
    <s v="CS-250421-0175"/>
    <x v="22"/>
    <s v="Tuesday"/>
    <x v="0"/>
    <s v="SUBSCRIPTION"/>
    <x v="3"/>
    <n v="1"/>
    <n v="129"/>
    <s v="Non-veg"/>
    <m/>
    <x v="0"/>
  </r>
  <r>
    <s v="CS-250421-0179"/>
    <x v="22"/>
    <s v="Tuesday"/>
    <x v="1"/>
    <s v="SUBSCRIPTION"/>
    <x v="2"/>
    <n v="1"/>
    <n v="99"/>
    <s v="Veg"/>
    <m/>
    <x v="0"/>
  </r>
  <r>
    <s v="CS-250422-0055"/>
    <x v="22"/>
    <s v="Tuesday"/>
    <x v="0"/>
    <s v="REGULAR"/>
    <x v="9"/>
    <n v="1"/>
    <n v="65"/>
    <s v="Veg"/>
    <m/>
    <x v="1"/>
  </r>
  <r>
    <s v="CS-250422-0091"/>
    <x v="22"/>
    <s v="Tuesday"/>
    <x v="0"/>
    <s v="REGULAR"/>
    <x v="17"/>
    <n v="1"/>
    <n v="140"/>
    <s v="Veg"/>
    <m/>
    <x v="1"/>
  </r>
  <r>
    <s v="CS-250422-0111"/>
    <x v="22"/>
    <s v="Tuesday"/>
    <x v="0"/>
    <s v="REGULAR"/>
    <x v="62"/>
    <n v="1"/>
    <n v="410"/>
    <s v="Non-veg"/>
    <m/>
    <x v="1"/>
  </r>
  <r>
    <m/>
    <x v="1"/>
    <m/>
    <x v="3"/>
    <m/>
    <x v="107"/>
    <n v="1"/>
    <m/>
    <s v="Non-veg"/>
    <m/>
    <x v="1"/>
  </r>
  <r>
    <m/>
    <x v="1"/>
    <m/>
    <x v="3"/>
    <m/>
    <x v="91"/>
    <n v="1"/>
    <m/>
    <s v="Non-veg"/>
    <m/>
    <x v="1"/>
  </r>
  <r>
    <s v="CS-250422-0113"/>
    <x v="22"/>
    <s v="Tuesday"/>
    <x v="0"/>
    <s v="REGULAR"/>
    <x v="107"/>
    <n v="2"/>
    <n v="260"/>
    <s v="Non-veg"/>
    <m/>
    <x v="1"/>
  </r>
  <r>
    <s v="CS-250422-0156"/>
    <x v="23"/>
    <s v="Wednesday"/>
    <x v="1"/>
    <s v="REGULAR"/>
    <x v="134"/>
    <n v="1"/>
    <n v="110"/>
    <s v="Veg"/>
    <m/>
    <x v="1"/>
  </r>
  <r>
    <s v="CS-250422-0174"/>
    <x v="23"/>
    <s v="Wednesday"/>
    <x v="0"/>
    <s v="SUBSCRIPTION"/>
    <x v="14"/>
    <n v="1"/>
    <n v="179"/>
    <s v="Non-veg"/>
    <m/>
    <x v="0"/>
  </r>
  <r>
    <s v="CS-250422-0181"/>
    <x v="23"/>
    <s v="Wednesday"/>
    <x v="1"/>
    <s v="SUBSCRIPTION"/>
    <x v="13"/>
    <n v="1"/>
    <n v="112"/>
    <s v="Non-veg"/>
    <m/>
    <x v="0"/>
  </r>
  <r>
    <s v="CS-250422-0178"/>
    <x v="23"/>
    <s v="Wednesday"/>
    <x v="0"/>
    <s v="SUBSCRIPTION"/>
    <x v="14"/>
    <n v="1"/>
    <n v="179"/>
    <s v="Non-veg"/>
    <m/>
    <x v="0"/>
  </r>
  <r>
    <s v="CS-250422-0182"/>
    <x v="23"/>
    <s v="Wednesday"/>
    <x v="1"/>
    <s v="SUBSCRIPTION"/>
    <x v="11"/>
    <n v="1"/>
    <n v="99"/>
    <s v="Non-veg"/>
    <m/>
    <x v="0"/>
  </r>
  <r>
    <s v="CS-250422-0183"/>
    <x v="23"/>
    <s v="Wednesday"/>
    <x v="2"/>
    <s v="SUBSCRIPTION"/>
    <x v="16"/>
    <n v="1"/>
    <n v="129"/>
    <s v="Non-veg"/>
    <m/>
    <x v="0"/>
  </r>
  <r>
    <s v="CS-250422-0184"/>
    <x v="23"/>
    <s v="Wednesday"/>
    <x v="0"/>
    <s v="SUBSCRIPTION"/>
    <x v="122"/>
    <n v="1"/>
    <n v="129"/>
    <s v="Veg"/>
    <m/>
    <x v="0"/>
  </r>
  <r>
    <s v="CS-250422-0191"/>
    <x v="23"/>
    <s v="Wednesday"/>
    <x v="0"/>
    <s v="SUBSCRIPTION"/>
    <x v="122"/>
    <n v="1"/>
    <n v="129"/>
    <s v="Veg"/>
    <m/>
    <x v="0"/>
  </r>
  <r>
    <s v="CS-250423-0055"/>
    <x v="23"/>
    <s v="Wednesday"/>
    <x v="0"/>
    <s v="REGULAR"/>
    <x v="93"/>
    <n v="1"/>
    <n v="330"/>
    <s v="Non-veg"/>
    <m/>
    <x v="1"/>
  </r>
  <r>
    <s v="CS-250423-0071"/>
    <x v="23"/>
    <s v="Wednesday"/>
    <x v="0"/>
    <s v="REGULAR"/>
    <x v="36"/>
    <n v="1"/>
    <n v="240"/>
    <s v="Non-veg"/>
    <m/>
    <x v="1"/>
  </r>
  <r>
    <m/>
    <x v="1"/>
    <m/>
    <x v="3"/>
    <m/>
    <x v="27"/>
    <n v="1"/>
    <m/>
    <s v="Veg"/>
    <m/>
    <x v="1"/>
  </r>
  <r>
    <s v="CS-250423-0090"/>
    <x v="23"/>
    <s v="Wednesday"/>
    <x v="0"/>
    <s v="REGULAR"/>
    <x v="71"/>
    <n v="1"/>
    <n v="180"/>
    <s v="Non-veg"/>
    <m/>
    <x v="1"/>
  </r>
  <r>
    <s v="CS-250423-0115"/>
    <x v="23"/>
    <s v="Wednesday"/>
    <x v="0"/>
    <s v="REGULAR"/>
    <x v="135"/>
    <n v="1"/>
    <n v="440"/>
    <s v="Non-veg"/>
    <m/>
    <x v="1"/>
  </r>
  <r>
    <m/>
    <x v="1"/>
    <m/>
    <x v="3"/>
    <m/>
    <x v="31"/>
    <n v="1"/>
    <m/>
    <s v="Non-veg"/>
    <m/>
    <x v="1"/>
  </r>
  <r>
    <s v="CS-250423-0191"/>
    <x v="24"/>
    <s v="Thursday"/>
    <x v="1"/>
    <s v="SUBSCRIPTION"/>
    <x v="23"/>
    <n v="1"/>
    <n v="149"/>
    <s v="Non-veg"/>
    <m/>
    <x v="0"/>
  </r>
  <r>
    <s v="CS-250423-0204"/>
    <x v="24"/>
    <s v="Thursday"/>
    <x v="0"/>
    <s v="SUBSCRIPTION"/>
    <x v="126"/>
    <n v="1"/>
    <n v="129"/>
    <s v="Veg"/>
    <m/>
    <x v="0"/>
  </r>
  <r>
    <s v="CS-250423-0210"/>
    <x v="24"/>
    <s v="Thursday"/>
    <x v="0"/>
    <s v="SUBSCRIPTION"/>
    <x v="21"/>
    <n v="1"/>
    <n v="99"/>
    <s v="Non-veg"/>
    <m/>
    <x v="0"/>
  </r>
  <r>
    <s v="CS-250423-0209"/>
    <x v="24"/>
    <s v="Thursday"/>
    <x v="2"/>
    <s v="SUBSCRIPTION"/>
    <x v="25"/>
    <n v="1"/>
    <n v="117"/>
    <s v="Non-veg"/>
    <m/>
    <x v="0"/>
  </r>
  <r>
    <s v="CS-250423-0211"/>
    <x v="24"/>
    <s v="Thursday"/>
    <x v="1"/>
    <s v="SUBSCRIPTION"/>
    <x v="23"/>
    <n v="1"/>
    <n v="149"/>
    <s v="Non-veg"/>
    <m/>
    <x v="0"/>
  </r>
  <r>
    <s v="CS-250423-0234"/>
    <x v="24"/>
    <s v="Thursday"/>
    <x v="0"/>
    <s v="SUBSCRIPTION"/>
    <x v="126"/>
    <n v="1"/>
    <n v="129"/>
    <s v="Veg"/>
    <m/>
    <x v="0"/>
  </r>
  <r>
    <s v="CS-250423-0312"/>
    <x v="24"/>
    <s v="Thursday"/>
    <x v="0"/>
    <s v="REGULAR"/>
    <x v="60"/>
    <n v="1"/>
    <n v="140"/>
    <s v="Non-veg"/>
    <m/>
    <x v="1"/>
  </r>
  <r>
    <s v="CS-250424-0041"/>
    <x v="24"/>
    <s v="Thursday"/>
    <x v="0"/>
    <s v="REGULAR"/>
    <x v="51"/>
    <n v="2"/>
    <n v="260"/>
    <s v="Veg"/>
    <m/>
    <x v="1"/>
  </r>
  <r>
    <m/>
    <x v="1"/>
    <m/>
    <x v="3"/>
    <m/>
    <x v="46"/>
    <n v="2"/>
    <m/>
    <s v="Non-veg"/>
    <m/>
    <x v="1"/>
  </r>
  <r>
    <s v="CS-250424-0074"/>
    <x v="24"/>
    <s v="Thursday"/>
    <x v="0"/>
    <s v="REGULAR"/>
    <x v="63"/>
    <n v="1"/>
    <n v="170"/>
    <s v="Non-veg"/>
    <m/>
    <x v="1"/>
  </r>
  <r>
    <s v="CS-250424-0109"/>
    <x v="24"/>
    <s v="Thursday"/>
    <x v="0"/>
    <s v="REGULAR"/>
    <x v="71"/>
    <n v="1"/>
    <n v="180"/>
    <s v="Non-veg"/>
    <m/>
    <x v="1"/>
  </r>
  <r>
    <s v="CS-250424-0148"/>
    <x v="24"/>
    <s v="Thursday"/>
    <x v="0"/>
    <s v="REGULAR"/>
    <x v="51"/>
    <n v="1"/>
    <n v="290"/>
    <s v="Veg"/>
    <m/>
    <x v="1"/>
  </r>
  <r>
    <m/>
    <x v="1"/>
    <m/>
    <x v="3"/>
    <m/>
    <x v="36"/>
    <n v="1"/>
    <m/>
    <s v="Non-veg"/>
    <m/>
    <x v="1"/>
  </r>
  <r>
    <m/>
    <x v="1"/>
    <m/>
    <x v="3"/>
    <m/>
    <x v="46"/>
    <n v="1"/>
    <m/>
    <s v="Non-veg"/>
    <m/>
    <x v="1"/>
  </r>
  <r>
    <s v="CS-250424-0151"/>
    <x v="24"/>
    <s v="Thursday"/>
    <x v="0"/>
    <s v="REGULAR"/>
    <x v="45"/>
    <n v="1"/>
    <n v="350"/>
    <s v="Veg"/>
    <m/>
    <x v="1"/>
  </r>
  <r>
    <m/>
    <x v="1"/>
    <m/>
    <x v="3"/>
    <m/>
    <x v="8"/>
    <n v="1"/>
    <m/>
    <s v="Non-veg"/>
    <m/>
    <x v="1"/>
  </r>
  <r>
    <m/>
    <x v="1"/>
    <m/>
    <x v="3"/>
    <m/>
    <x v="91"/>
    <n v="1"/>
    <m/>
    <s v="Non-veg"/>
    <m/>
    <x v="1"/>
  </r>
  <r>
    <s v="CS-250424-0153"/>
    <x v="24"/>
    <s v="Thursday"/>
    <x v="0"/>
    <s v="REGULAR"/>
    <x v="31"/>
    <n v="1"/>
    <n v="280"/>
    <s v="Non-veg"/>
    <m/>
    <x v="1"/>
  </r>
  <r>
    <s v="CS-250424-0205"/>
    <x v="25"/>
    <s v="Friday"/>
    <x v="2"/>
    <s v="SUBSCRIPTION"/>
    <x v="38"/>
    <n v="1"/>
    <n v="99"/>
    <s v="Veg"/>
    <m/>
    <x v="0"/>
  </r>
  <r>
    <s v="CS-250424-0206"/>
    <x v="25"/>
    <s v="Friday"/>
    <x v="0"/>
    <s v="SUBSCRIPTION"/>
    <x v="44"/>
    <n v="1"/>
    <n v="129"/>
    <s v="Non-veg"/>
    <m/>
    <x v="0"/>
  </r>
  <r>
    <s v="CS-250424-0210"/>
    <x v="25"/>
    <s v="Friday"/>
    <x v="1"/>
    <s v="SUBSCRIPTION"/>
    <x v="40"/>
    <n v="1"/>
    <n v="129"/>
    <s v="Non-veg"/>
    <m/>
    <x v="0"/>
  </r>
  <r>
    <s v="CS-250424-0212"/>
    <x v="25"/>
    <s v="Friday"/>
    <x v="1"/>
    <s v="SUBSCRIPTION"/>
    <x v="37"/>
    <n v="1"/>
    <n v="99"/>
    <s v="Veg"/>
    <m/>
    <x v="0"/>
  </r>
  <r>
    <s v="CS-250424-0247"/>
    <x v="25"/>
    <s v="Friday"/>
    <x v="0"/>
    <s v="SUBSCRIPTION"/>
    <x v="44"/>
    <n v="1"/>
    <n v="129"/>
    <s v="Non-veg"/>
    <m/>
    <x v="0"/>
  </r>
  <r>
    <s v="CS-250424-0246"/>
    <x v="25"/>
    <s v="Friday"/>
    <x v="1"/>
    <s v="SUBSCRIPTION"/>
    <x v="37"/>
    <n v="1"/>
    <n v="99"/>
    <s v="Veg"/>
    <m/>
    <x v="0"/>
  </r>
  <r>
    <s v="CS-250425-0008"/>
    <x v="25"/>
    <s v="Friday"/>
    <x v="0"/>
    <s v="REGULAR"/>
    <x v="32"/>
    <n v="1"/>
    <n v="190"/>
    <s v="Veg"/>
    <m/>
    <x v="1"/>
  </r>
  <r>
    <s v="CS-250425-0178"/>
    <x v="26"/>
    <s v="Saturday"/>
    <x v="0"/>
    <s v="SUBSCRIPTION"/>
    <x v="111"/>
    <n v="1"/>
    <n v="149"/>
    <s v="Non-veg"/>
    <m/>
    <x v="0"/>
  </r>
  <r>
    <s v="CS-250425-0180"/>
    <x v="26"/>
    <s v="Saturday"/>
    <x v="0"/>
    <s v="SUBSCRIPTION"/>
    <x v="111"/>
    <n v="1"/>
    <n v="149"/>
    <s v="Non-veg"/>
    <m/>
    <x v="0"/>
  </r>
  <r>
    <s v="CS-250425-0186"/>
    <x v="26"/>
    <s v="Saturday"/>
    <x v="2"/>
    <s v="SUBSCRIPTION"/>
    <x v="55"/>
    <n v="1"/>
    <n v="79"/>
    <s v="Veg"/>
    <m/>
    <x v="0"/>
  </r>
  <r>
    <s v="CS-250425-0188"/>
    <x v="26"/>
    <s v="Saturday"/>
    <x v="1"/>
    <s v="SUBSCRIPTION"/>
    <x v="54"/>
    <n v="1"/>
    <n v="149"/>
    <s v="Non-veg"/>
    <m/>
    <x v="0"/>
  </r>
  <r>
    <s v="CS-250425-0190"/>
    <x v="26"/>
    <s v="Saturday"/>
    <x v="1"/>
    <s v="SUBSCRIPTION"/>
    <x v="110"/>
    <n v="1"/>
    <n v="79"/>
    <s v="Veg"/>
    <m/>
    <x v="0"/>
  </r>
  <r>
    <s v="CS-250425-0193"/>
    <x v="26"/>
    <s v="Saturday"/>
    <x v="0"/>
    <s v="SUBSCRIPTION"/>
    <x v="113"/>
    <n v="1"/>
    <n v="129"/>
    <s v="Veg"/>
    <m/>
    <x v="0"/>
  </r>
  <r>
    <s v="CS-250425-0210"/>
    <x v="26"/>
    <s v="Saturday"/>
    <x v="0"/>
    <s v="SUBSCRIPTION"/>
    <x v="113"/>
    <n v="1"/>
    <n v="129"/>
    <s v="Veg"/>
    <m/>
    <x v="0"/>
  </r>
  <r>
    <s v="CS-250426-0030"/>
    <x v="26"/>
    <s v="Saturday"/>
    <x v="0"/>
    <s v="REGULAR"/>
    <x v="103"/>
    <n v="1"/>
    <n v="270"/>
    <s v="Veg"/>
    <m/>
    <x v="1"/>
  </r>
  <r>
    <m/>
    <x v="1"/>
    <m/>
    <x v="3"/>
    <m/>
    <x v="92"/>
    <n v="1"/>
    <m/>
    <s v="Veg"/>
    <m/>
    <x v="1"/>
  </r>
  <r>
    <m/>
    <x v="1"/>
    <m/>
    <x v="3"/>
    <m/>
    <x v="45"/>
    <n v="1"/>
    <m/>
    <s v="Veg"/>
    <m/>
    <x v="1"/>
  </r>
  <r>
    <s v="CS-250426-0063"/>
    <x v="26"/>
    <s v="Saturday"/>
    <x v="0"/>
    <s v="REGULAR"/>
    <x v="62"/>
    <n v="1"/>
    <n v="460"/>
    <s v="Non-veg"/>
    <m/>
    <x v="1"/>
  </r>
  <r>
    <m/>
    <x v="1"/>
    <m/>
    <x v="3"/>
    <m/>
    <x v="60"/>
    <n v="1"/>
    <m/>
    <s v="Non-veg"/>
    <m/>
    <x v="1"/>
  </r>
  <r>
    <m/>
    <x v="1"/>
    <m/>
    <x v="3"/>
    <m/>
    <x v="50"/>
    <n v="1"/>
    <m/>
    <s v="Non-veg"/>
    <m/>
    <x v="1"/>
  </r>
  <r>
    <s v="CS-250426-0086"/>
    <x v="26"/>
    <s v="Saturday"/>
    <x v="0"/>
    <s v="REGULAR"/>
    <x v="92"/>
    <n v="1"/>
    <n v="475"/>
    <s v="Veg"/>
    <m/>
    <x v="1"/>
  </r>
  <r>
    <m/>
    <x v="1"/>
    <m/>
    <x v="3"/>
    <m/>
    <x v="9"/>
    <n v="1"/>
    <m/>
    <s v="Veg"/>
    <m/>
    <x v="1"/>
  </r>
  <r>
    <m/>
    <x v="1"/>
    <m/>
    <x v="3"/>
    <m/>
    <x v="121"/>
    <n v="1"/>
    <m/>
    <s v="Non-veg"/>
    <m/>
    <x v="1"/>
  </r>
  <r>
    <m/>
    <x v="1"/>
    <m/>
    <x v="3"/>
    <m/>
    <x v="27"/>
    <n v="2"/>
    <m/>
    <s v="Veg"/>
    <m/>
    <x v="1"/>
  </r>
  <r>
    <s v="CS-250426-0096"/>
    <x v="26"/>
    <s v="Saturday"/>
    <x v="0"/>
    <s v="REGULAR"/>
    <x v="61"/>
    <n v="1"/>
    <n v="140"/>
    <s v="Veg"/>
    <m/>
    <x v="1"/>
  </r>
  <r>
    <m/>
    <x v="1"/>
    <m/>
    <x v="3"/>
    <m/>
    <x v="64"/>
    <n v="1"/>
    <m/>
    <s v="Veg"/>
    <m/>
    <x v="1"/>
  </r>
  <r>
    <s v="CS-250426-0124"/>
    <x v="26"/>
    <s v="Saturday"/>
    <x v="0"/>
    <s v="REGULAR"/>
    <x v="49"/>
    <n v="1"/>
    <n v="220"/>
    <s v="Non-veg"/>
    <m/>
    <x v="1"/>
  </r>
  <r>
    <m/>
    <x v="1"/>
    <m/>
    <x v="3"/>
    <m/>
    <x v="135"/>
    <n v="1"/>
    <m/>
    <s v="Non-veg"/>
    <m/>
    <x v="1"/>
  </r>
  <r>
    <s v="CS-250426-0127"/>
    <x v="26"/>
    <s v="Saturday"/>
    <x v="0"/>
    <s v="REGULAR"/>
    <x v="32"/>
    <n v="1"/>
    <n v="255"/>
    <s v="Veg"/>
    <m/>
    <x v="1"/>
  </r>
  <r>
    <m/>
    <x v="1"/>
    <m/>
    <x v="3"/>
    <m/>
    <x v="9"/>
    <n v="1"/>
    <m/>
    <s v="Veg"/>
    <m/>
    <x v="1"/>
  </r>
  <r>
    <s v="CS-250426-0187"/>
    <x v="26"/>
    <s v="Saturday"/>
    <x v="0"/>
    <s v="REGULAR"/>
    <x v="31"/>
    <n v="1"/>
    <n v="360"/>
    <s v="Non-veg"/>
    <m/>
    <x v="1"/>
  </r>
  <r>
    <m/>
    <x v="1"/>
    <m/>
    <x v="3"/>
    <m/>
    <x v="103"/>
    <n v="1"/>
    <m/>
    <s v="Veg"/>
    <m/>
    <x v="1"/>
  </r>
  <r>
    <s v="CS-250426-0219"/>
    <x v="27"/>
    <s v="Sunday"/>
    <x v="0"/>
    <s v="REGULAR"/>
    <x v="57"/>
    <n v="1"/>
    <n v="190"/>
    <s v="Non-veg"/>
    <m/>
    <x v="1"/>
  </r>
  <r>
    <s v="CS-250426-0255"/>
    <x v="27"/>
    <s v="Sunday"/>
    <x v="0"/>
    <s v="SUBSCRIPTION"/>
    <x v="70"/>
    <n v="1"/>
    <n v="117"/>
    <s v="Non-veg"/>
    <m/>
    <x v="0"/>
  </r>
  <r>
    <s v="CS-250426-0258"/>
    <x v="27"/>
    <s v="Sunday"/>
    <x v="0"/>
    <s v="SUBSCRIPTION"/>
    <x v="68"/>
    <n v="1"/>
    <n v="129"/>
    <s v="Non-veg"/>
    <m/>
    <x v="0"/>
  </r>
  <r>
    <s v="CS-250426-0257"/>
    <x v="27"/>
    <s v="Sunday"/>
    <x v="1"/>
    <s v="SUBSCRIPTION"/>
    <x v="66"/>
    <n v="1"/>
    <n v="129"/>
    <s v="Non-veg"/>
    <m/>
    <x v="0"/>
  </r>
  <r>
    <s v="CS-250426-0262"/>
    <x v="27"/>
    <s v="Sunday"/>
    <x v="1"/>
    <s v="SUBSCRIPTION"/>
    <x v="66"/>
    <n v="1"/>
    <n v="129"/>
    <s v="Non-veg"/>
    <m/>
    <x v="0"/>
  </r>
  <r>
    <s v="CS-250426-0300"/>
    <x v="27"/>
    <s v="Sunday"/>
    <x v="0"/>
    <s v="REGULAR"/>
    <x v="91"/>
    <n v="1"/>
    <n v="340"/>
    <s v="Non-veg"/>
    <m/>
    <x v="1"/>
  </r>
  <r>
    <m/>
    <x v="1"/>
    <m/>
    <x v="3"/>
    <m/>
    <x v="50"/>
    <n v="1"/>
    <m/>
    <s v="Non-veg"/>
    <m/>
    <x v="1"/>
  </r>
  <r>
    <s v="CS-250426-0302"/>
    <x v="27"/>
    <s v="Sunday"/>
    <x v="0"/>
    <s v="REGULAR"/>
    <x v="92"/>
    <n v="1"/>
    <n v="290"/>
    <s v="Veg"/>
    <m/>
    <x v="1"/>
  </r>
  <r>
    <m/>
    <x v="1"/>
    <m/>
    <x v="3"/>
    <m/>
    <x v="136"/>
    <n v="1"/>
    <m/>
    <s v="Veg"/>
    <m/>
    <x v="1"/>
  </r>
  <r>
    <m/>
    <x v="1"/>
    <m/>
    <x v="3"/>
    <m/>
    <x v="137"/>
    <n v="1"/>
    <m/>
    <s v="Veg"/>
    <m/>
    <x v="1"/>
  </r>
  <r>
    <s v="CS-250427-0063"/>
    <x v="27"/>
    <s v="Sunday"/>
    <x v="0"/>
    <s v="REGULAR"/>
    <x v="7"/>
    <n v="1"/>
    <n v="275"/>
    <s v="Veg"/>
    <m/>
    <x v="1"/>
  </r>
  <r>
    <m/>
    <x v="1"/>
    <m/>
    <x v="3"/>
    <m/>
    <x v="76"/>
    <n v="1"/>
    <m/>
    <s v="Non-veg"/>
    <m/>
    <x v="1"/>
  </r>
  <r>
    <s v="CS-250427-0097"/>
    <x v="27"/>
    <s v="Sunday"/>
    <x v="0"/>
    <s v="REGULAR"/>
    <x v="97"/>
    <n v="2"/>
    <n v="770"/>
    <s v="Non-veg"/>
    <m/>
    <x v="1"/>
  </r>
  <r>
    <m/>
    <x v="1"/>
    <m/>
    <x v="3"/>
    <m/>
    <x v="50"/>
    <n v="1"/>
    <m/>
    <s v="Non-veg"/>
    <m/>
    <x v="1"/>
  </r>
  <r>
    <s v="CS-250427-0148"/>
    <x v="27"/>
    <s v="Sunday"/>
    <x v="0"/>
    <s v="REGULAR"/>
    <x v="121"/>
    <n v="1"/>
    <n v="300"/>
    <s v="Non-veg"/>
    <m/>
    <x v="1"/>
  </r>
  <r>
    <m/>
    <x v="1"/>
    <m/>
    <x v="3"/>
    <m/>
    <x v="45"/>
    <n v="1"/>
    <m/>
    <s v="Veg"/>
    <m/>
    <x v="1"/>
  </r>
  <r>
    <s v="CS-250427-0208"/>
    <x v="27"/>
    <s v="Sunday"/>
    <x v="0"/>
    <s v="REGULAR"/>
    <x v="138"/>
    <n v="1"/>
    <n v="255"/>
    <s v="Non-veg"/>
    <m/>
    <x v="1"/>
  </r>
  <r>
    <m/>
    <x v="1"/>
    <m/>
    <x v="3"/>
    <m/>
    <x v="5"/>
    <n v="1"/>
    <m/>
    <s v="Veg"/>
    <m/>
    <x v="1"/>
  </r>
  <r>
    <s v="CS-250427-0279"/>
    <x v="28"/>
    <s v="Monday"/>
    <x v="2"/>
    <s v="SUBSCRIPTION"/>
    <x v="80"/>
    <n v="1"/>
    <n v="99"/>
    <s v="Veg"/>
    <m/>
    <x v="0"/>
  </r>
  <r>
    <s v="CS-250427-0285"/>
    <x v="28"/>
    <s v="Monday"/>
    <x v="0"/>
    <s v="SUBSCRIPTION"/>
    <x v="82"/>
    <n v="1"/>
    <n v="117"/>
    <s v="Veg"/>
    <m/>
    <x v="0"/>
  </r>
  <r>
    <s v="CS-250427-0294"/>
    <x v="28"/>
    <s v="Monday"/>
    <x v="1"/>
    <s v="SUBSCRIPTION"/>
    <x v="81"/>
    <n v="1"/>
    <n v="117"/>
    <s v="Non-veg"/>
    <m/>
    <x v="0"/>
  </r>
  <r>
    <s v="CS-250427-0292"/>
    <x v="28"/>
    <s v="Monday"/>
    <x v="0"/>
    <s v="SUBSCRIPTION"/>
    <x v="117"/>
    <n v="1"/>
    <n v="129"/>
    <s v="Veg"/>
    <m/>
    <x v="0"/>
  </r>
  <r>
    <s v="CS-250427-0300"/>
    <x v="28"/>
    <s v="Monday"/>
    <x v="1"/>
    <s v="SUBSCRIPTION"/>
    <x v="78"/>
    <n v="1"/>
    <n v="79"/>
    <s v="Veg"/>
    <m/>
    <x v="0"/>
  </r>
  <r>
    <s v="CS-250427-0320"/>
    <x v="28"/>
    <s v="Monday"/>
    <x v="0"/>
    <s v="SUBSCRIPTION"/>
    <x v="117"/>
    <n v="1"/>
    <n v="129"/>
    <s v="Veg"/>
    <m/>
    <x v="0"/>
  </r>
  <r>
    <s v="CS-250427-0325"/>
    <x v="28"/>
    <s v="Monday"/>
    <x v="0"/>
    <s v="SUBSCRIPTION"/>
    <x v="82"/>
    <n v="1"/>
    <n v="117"/>
    <s v="Veg"/>
    <m/>
    <x v="0"/>
  </r>
  <r>
    <s v="CS-250427-0288"/>
    <x v="28"/>
    <s v="Monday"/>
    <x v="0"/>
    <s v="SUBSCRIPTION"/>
    <x v="139"/>
    <n v="1"/>
    <n v="129"/>
    <s v="Veg"/>
    <m/>
    <x v="0"/>
  </r>
  <r>
    <s v="CS-250428-0037"/>
    <x v="28"/>
    <s v="Monday"/>
    <x v="0"/>
    <s v="REGULAR"/>
    <x v="104"/>
    <n v="1"/>
    <n v="155"/>
    <s v="Veg"/>
    <m/>
    <x v="1"/>
  </r>
  <r>
    <m/>
    <x v="1"/>
    <m/>
    <x v="3"/>
    <m/>
    <x v="103"/>
    <n v="1"/>
    <m/>
    <s v="Veg"/>
    <m/>
    <x v="1"/>
  </r>
  <r>
    <s v="CS-250428-0050"/>
    <x v="28"/>
    <s v="Monday"/>
    <x v="0"/>
    <s v="REGULAR"/>
    <x v="63"/>
    <n v="1"/>
    <n v="170"/>
    <s v="Non-veg"/>
    <m/>
    <x v="1"/>
  </r>
  <r>
    <s v="CS-250428-0063"/>
    <x v="28"/>
    <s v="Monday"/>
    <x v="0"/>
    <s v="REGULAR"/>
    <x v="48"/>
    <n v="1"/>
    <n v="699"/>
    <s v="Non-veg"/>
    <m/>
    <x v="1"/>
  </r>
  <r>
    <s v="CS-250428-0064"/>
    <x v="28"/>
    <s v="Monday"/>
    <x v="0"/>
    <s v="REGULAR"/>
    <x v="91"/>
    <n v="1"/>
    <n v="530"/>
    <s v="Non-veg"/>
    <m/>
    <x v="1"/>
  </r>
  <r>
    <m/>
    <x v="1"/>
    <m/>
    <x v="3"/>
    <m/>
    <x v="76"/>
    <n v="1"/>
    <m/>
    <s v="Non-veg"/>
    <m/>
    <x v="1"/>
  </r>
  <r>
    <m/>
    <x v="1"/>
    <m/>
    <x v="3"/>
    <m/>
    <x v="108"/>
    <n v="1"/>
    <m/>
    <s v="Non-veg"/>
    <m/>
    <x v="1"/>
  </r>
  <r>
    <s v="CS-250428-0095"/>
    <x v="28"/>
    <s v="Monday"/>
    <x v="0"/>
    <s v="REGULAR"/>
    <x v="45"/>
    <n v="1"/>
    <n v="220"/>
    <s v="Veg"/>
    <m/>
    <x v="1"/>
  </r>
  <r>
    <m/>
    <x v="1"/>
    <m/>
    <x v="3"/>
    <m/>
    <x v="85"/>
    <n v="1"/>
    <m/>
    <s v="Veg"/>
    <m/>
    <x v="1"/>
  </r>
  <r>
    <s v="CS-250428-0178"/>
    <x v="29"/>
    <s v="Tuesday"/>
    <x v="0"/>
    <s v="SUBSCRIPTION"/>
    <x v="119"/>
    <n v="1"/>
    <n v="129"/>
    <s v="Veg"/>
    <m/>
    <x v="0"/>
  </r>
  <r>
    <s v="CS-250428-0181"/>
    <x v="29"/>
    <s v="Tuesday"/>
    <x v="1"/>
    <s v="SUBSCRIPTION"/>
    <x v="1"/>
    <n v="1"/>
    <n v="117"/>
    <s v="Non-veg"/>
    <m/>
    <x v="0"/>
  </r>
  <r>
    <s v="CS-250428-0184"/>
    <x v="29"/>
    <s v="Tuesday"/>
    <x v="0"/>
    <s v="SUBSCRIPTION"/>
    <x v="3"/>
    <n v="1"/>
    <n v="129"/>
    <s v="Non-veg"/>
    <m/>
    <x v="0"/>
  </r>
  <r>
    <s v="CS-250428-0182"/>
    <x v="29"/>
    <s v="Tuesday"/>
    <x v="1"/>
    <s v="SUBSCRIPTION"/>
    <x v="2"/>
    <n v="1"/>
    <n v="99"/>
    <s v="Veg"/>
    <m/>
    <x v="0"/>
  </r>
  <r>
    <s v="CS-250428-0190"/>
    <x v="29"/>
    <s v="Tuesday"/>
    <x v="2"/>
    <s v="SUBSCRIPTION"/>
    <x v="88"/>
    <n v="1"/>
    <n v="99"/>
    <s v="Veg"/>
    <m/>
    <x v="0"/>
  </r>
  <r>
    <s v="CS-250428-0201"/>
    <x v="29"/>
    <s v="Tuesday"/>
    <x v="0"/>
    <s v="SUBSCRIPTION"/>
    <x v="119"/>
    <n v="1"/>
    <n v="129"/>
    <s v="Veg"/>
    <m/>
    <x v="0"/>
  </r>
  <r>
    <s v="CS-250428-0197"/>
    <x v="29"/>
    <s v="Tuesday"/>
    <x v="1"/>
    <s v="SUBSCRIPTION"/>
    <x v="2"/>
    <n v="1"/>
    <n v="99"/>
    <s v="Veg"/>
    <m/>
    <x v="0"/>
  </r>
  <r>
    <s v="CS-250428-0221"/>
    <x v="29"/>
    <s v="Tuesday"/>
    <x v="0"/>
    <s v="SUBSCRIPTION"/>
    <x v="140"/>
    <n v="2"/>
    <n v="129"/>
    <s v="Veg"/>
    <m/>
    <x v="0"/>
  </r>
  <r>
    <s v="CS-250428-0262"/>
    <x v="29"/>
    <s v="Tuesday"/>
    <x v="0"/>
    <s v="REGULAR"/>
    <x v="64"/>
    <n v="1"/>
    <n v="315"/>
    <s v="Veg"/>
    <m/>
    <x v="1"/>
  </r>
  <r>
    <m/>
    <x v="1"/>
    <m/>
    <x v="3"/>
    <m/>
    <x v="27"/>
    <n v="1"/>
    <m/>
    <s v="Veg"/>
    <m/>
    <x v="1"/>
  </r>
  <r>
    <m/>
    <x v="1"/>
    <m/>
    <x v="3"/>
    <m/>
    <x v="85"/>
    <n v="1"/>
    <m/>
    <s v="Veg"/>
    <m/>
    <x v="1"/>
  </r>
  <r>
    <m/>
    <x v="1"/>
    <m/>
    <x v="3"/>
    <m/>
    <x v="46"/>
    <n v="1"/>
    <m/>
    <s v="Non-veg"/>
    <m/>
    <x v="1"/>
  </r>
  <r>
    <s v="CS-250429-0041"/>
    <x v="29"/>
    <s v="Tuesday"/>
    <x v="0"/>
    <s v="REGULAR"/>
    <x v="5"/>
    <n v="1"/>
    <n v="145"/>
    <s v="Veg"/>
    <m/>
    <x v="1"/>
  </r>
  <r>
    <m/>
    <x v="1"/>
    <m/>
    <x v="3"/>
    <m/>
    <x v="103"/>
    <n v="1"/>
    <m/>
    <s v="Veg"/>
    <m/>
    <x v="1"/>
  </r>
  <r>
    <s v="CS-250429-0061"/>
    <x v="29"/>
    <s v="Tuesday"/>
    <x v="0"/>
    <s v="REGULAR"/>
    <x v="50"/>
    <n v="1"/>
    <n v="380"/>
    <s v="Non-veg"/>
    <m/>
    <x v="1"/>
  </r>
  <r>
    <m/>
    <x v="1"/>
    <m/>
    <x v="3"/>
    <m/>
    <x v="141"/>
    <n v="1"/>
    <m/>
    <s v="Veg"/>
    <m/>
    <x v="1"/>
  </r>
  <r>
    <s v="CS-250429-0071"/>
    <x v="29"/>
    <s v="Tuesday"/>
    <x v="0"/>
    <s v="REGULAR"/>
    <x v="45"/>
    <n v="1"/>
    <n v="190"/>
    <s v="Veg"/>
    <m/>
    <x v="1"/>
  </r>
  <r>
    <m/>
    <x v="1"/>
    <m/>
    <x v="3"/>
    <m/>
    <x v="132"/>
    <n v="1"/>
    <m/>
    <s v="Veg"/>
    <m/>
    <x v="1"/>
  </r>
  <r>
    <s v="CS-250429-0109"/>
    <x v="29"/>
    <s v="Tuesday"/>
    <x v="0"/>
    <s v="REGULAR"/>
    <x v="50"/>
    <n v="1"/>
    <n v="430"/>
    <s v="Non-veg"/>
    <m/>
    <x v="1"/>
  </r>
  <r>
    <m/>
    <x v="1"/>
    <m/>
    <x v="3"/>
    <m/>
    <x v="34"/>
    <n v="1"/>
    <m/>
    <s v="Veg"/>
    <m/>
    <x v="1"/>
  </r>
  <r>
    <m/>
    <x v="1"/>
    <m/>
    <x v="3"/>
    <m/>
    <x v="36"/>
    <n v="1"/>
    <m/>
    <s v="Non-veg"/>
    <m/>
    <x v="1"/>
  </r>
  <r>
    <s v="CS-250430-0198"/>
    <x v="30"/>
    <s v="Thursday"/>
    <x v="0"/>
    <s v="SUBSCRIPTION"/>
    <x v="21"/>
    <n v="1"/>
    <n v="99"/>
    <s v="Non-veg"/>
    <m/>
    <x v="0"/>
  </r>
  <r>
    <s v="CS-250430-0199"/>
    <x v="30"/>
    <s v="Thursday"/>
    <x v="1"/>
    <s v="SUBSCRIPTION"/>
    <x v="23"/>
    <n v="1"/>
    <n v="149"/>
    <s v="Non-veg"/>
    <m/>
    <x v="0"/>
  </r>
  <r>
    <s v="CS-250430-0201"/>
    <x v="30"/>
    <s v="Thursday"/>
    <x v="2"/>
    <s v="SUBSCRIPTION"/>
    <x v="25"/>
    <n v="1"/>
    <n v="117"/>
    <s v="Non-veg"/>
    <m/>
    <x v="0"/>
  </r>
  <r>
    <s v="CS-250430-0211"/>
    <x v="30"/>
    <s v="Thursday"/>
    <x v="0"/>
    <s v="SUBSCRIPTION"/>
    <x v="126"/>
    <n v="1"/>
    <n v="129"/>
    <s v="Veg"/>
    <m/>
    <x v="0"/>
  </r>
  <r>
    <s v="CS-250430-0212"/>
    <x v="30"/>
    <s v="Thursday"/>
    <x v="0"/>
    <s v="SUBSCRIPTION"/>
    <x v="142"/>
    <n v="2"/>
    <n v="129"/>
    <s v="Veg"/>
    <m/>
    <x v="0"/>
  </r>
  <r>
    <s v="CS-250430-0210"/>
    <x v="30"/>
    <s v="Thursday"/>
    <x v="0"/>
    <s v="SUBSCRIPTION"/>
    <x v="126"/>
    <n v="1"/>
    <n v="129"/>
    <s v="Non-veg"/>
    <m/>
    <x v="0"/>
  </r>
  <r>
    <s v="CS-250430-0227"/>
    <x v="30"/>
    <s v="Thursday"/>
    <x v="1"/>
    <s v="SUBSCRIPTION"/>
    <x v="23"/>
    <n v="1"/>
    <n v="149"/>
    <s v="Non-veg"/>
    <m/>
    <x v="0"/>
  </r>
  <r>
    <s v="CS-250430-0291"/>
    <x v="30"/>
    <s v="Thursday"/>
    <x v="0"/>
    <s v="REGULAR"/>
    <x v="62"/>
    <n v="2"/>
    <n v="420"/>
    <s v="Non-veg"/>
    <m/>
    <x v="1"/>
  </r>
  <r>
    <m/>
    <x v="1"/>
    <m/>
    <x v="3"/>
    <m/>
    <x v="34"/>
    <n v="2"/>
    <m/>
    <s v="Veg"/>
    <m/>
    <x v="1"/>
  </r>
  <r>
    <s v="CS-250430-0308"/>
    <x v="30"/>
    <s v="Thursday"/>
    <x v="0"/>
    <s v="REGULAR"/>
    <x v="104"/>
    <n v="1"/>
    <n v="220"/>
    <s v="Veg"/>
    <m/>
    <x v="1"/>
  </r>
  <r>
    <m/>
    <x v="1"/>
    <m/>
    <x v="3"/>
    <m/>
    <x v="103"/>
    <n v="1"/>
    <m/>
    <s v="Veg"/>
    <m/>
    <x v="1"/>
  </r>
  <r>
    <m/>
    <x v="1"/>
    <m/>
    <x v="3"/>
    <m/>
    <x v="9"/>
    <n v="1"/>
    <m/>
    <s v="Veg"/>
    <m/>
    <x v="1"/>
  </r>
  <r>
    <s v="CS-250501-0008"/>
    <x v="30"/>
    <s v="Thursday"/>
    <x v="0"/>
    <s v="REGULAR"/>
    <x v="58"/>
    <n v="1"/>
    <n v="410"/>
    <s v="Non-veg"/>
    <m/>
    <x v="1"/>
  </r>
  <r>
    <m/>
    <x v="1"/>
    <m/>
    <x v="3"/>
    <m/>
    <x v="45"/>
    <n v="1"/>
    <m/>
    <s v="Veg"/>
    <m/>
    <x v="1"/>
  </r>
  <r>
    <m/>
    <x v="1"/>
    <m/>
    <x v="3"/>
    <m/>
    <x v="35"/>
    <n v="1"/>
    <m/>
    <s v="Veg"/>
    <m/>
    <x v="1"/>
  </r>
  <r>
    <m/>
    <x v="1"/>
    <m/>
    <x v="3"/>
    <m/>
    <x v="29"/>
    <n v="1"/>
    <m/>
    <s v="Veg"/>
    <m/>
    <x v="1"/>
  </r>
  <r>
    <m/>
    <x v="1"/>
    <m/>
    <x v="3"/>
    <m/>
    <x v="61"/>
    <n v="1"/>
    <m/>
    <s v="Veg"/>
    <m/>
    <x v="1"/>
  </r>
  <r>
    <s v="CS-250501-0047"/>
    <x v="30"/>
    <s v="Thursday"/>
    <x v="0"/>
    <s v="REGULAR"/>
    <x v="36"/>
    <n v="1"/>
    <n v="350"/>
    <s v="Non-veg"/>
    <m/>
    <x v="1"/>
  </r>
  <r>
    <m/>
    <x v="1"/>
    <m/>
    <x v="3"/>
    <m/>
    <x v="50"/>
    <n v="1"/>
    <m/>
    <s v="Non-veg"/>
    <m/>
    <x v="1"/>
  </r>
  <r>
    <s v="CS-250501-0099"/>
    <x v="30"/>
    <s v="Thursday"/>
    <x v="0"/>
    <s v="REGULAR"/>
    <x v="107"/>
    <n v="1"/>
    <n v="510"/>
    <s v="Non-veg"/>
    <m/>
    <x v="1"/>
  </r>
  <r>
    <m/>
    <x v="1"/>
    <m/>
    <x v="3"/>
    <m/>
    <x v="50"/>
    <n v="1"/>
    <m/>
    <s v="Non-veg"/>
    <m/>
    <x v="1"/>
  </r>
  <r>
    <m/>
    <x v="1"/>
    <m/>
    <x v="3"/>
    <m/>
    <x v="32"/>
    <n v="1"/>
    <m/>
    <s v="Veg"/>
    <m/>
    <x v="1"/>
  </r>
  <r>
    <s v="CS-250501-0107"/>
    <x v="30"/>
    <s v="Thursday"/>
    <x v="0"/>
    <s v="REGULAR"/>
    <x v="8"/>
    <n v="1"/>
    <n v="505"/>
    <s v="Non-veg"/>
    <m/>
    <x v="1"/>
  </r>
  <r>
    <m/>
    <x v="1"/>
    <m/>
    <x v="3"/>
    <m/>
    <x v="75"/>
    <n v="1"/>
    <m/>
    <s v="Non-veg"/>
    <m/>
    <x v="1"/>
  </r>
  <r>
    <m/>
    <x v="1"/>
    <m/>
    <x v="3"/>
    <m/>
    <x v="36"/>
    <n v="1"/>
    <m/>
    <s v="Non-veg"/>
    <m/>
    <x v="1"/>
  </r>
  <r>
    <m/>
    <x v="1"/>
    <m/>
    <x v="3"/>
    <m/>
    <x v="7"/>
    <n v="1"/>
    <m/>
    <s v="Veg"/>
    <m/>
    <x v="1"/>
  </r>
  <r>
    <s v="CS-250501-0151"/>
    <x v="30"/>
    <s v="Thursday"/>
    <x v="0"/>
    <s v="REGULAR"/>
    <x v="75"/>
    <n v="2"/>
    <n v="340"/>
    <s v="Non-veg"/>
    <m/>
    <x v="1"/>
  </r>
  <r>
    <s v="CS-250501-0154"/>
    <x v="30"/>
    <s v="Thursday"/>
    <x v="0"/>
    <s v="REGULAR"/>
    <x v="124"/>
    <n v="1"/>
    <n v="170"/>
    <s v="Non-veg"/>
    <m/>
    <x v="1"/>
  </r>
  <r>
    <s v="CS-250501-0248"/>
    <x v="31"/>
    <s v="Friday"/>
    <x v="2"/>
    <s v="SUBSCRIPTION"/>
    <x v="38"/>
    <n v="1"/>
    <n v="99"/>
    <s v="Veg"/>
    <m/>
    <x v="0"/>
  </r>
  <r>
    <s v="CS-250501-0249"/>
    <x v="31"/>
    <s v="Friday"/>
    <x v="1"/>
    <s v="SUBSCRIPTION"/>
    <x v="37"/>
    <n v="2"/>
    <n v="198"/>
    <s v="Veg"/>
    <m/>
    <x v="0"/>
  </r>
  <r>
    <s v="CS-250501-0259"/>
    <x v="31"/>
    <s v="Friday"/>
    <x v="0"/>
    <s v="SUBSCRIPTION"/>
    <x v="143"/>
    <n v="2"/>
    <n v="99"/>
    <s v="Veg"/>
    <m/>
    <x v="0"/>
  </r>
  <r>
    <s v="CS-250501-0266"/>
    <x v="31"/>
    <s v="Friday"/>
    <x v="0"/>
    <s v="SUBSCRIPTION"/>
    <x v="44"/>
    <n v="1"/>
    <n v="129"/>
    <s v="Non-veg"/>
    <m/>
    <x v="0"/>
  </r>
  <r>
    <s v="CS-250501-0274"/>
    <x v="31"/>
    <s v="Friday"/>
    <x v="1"/>
    <s v="SUBSCRIPTION"/>
    <x v="40"/>
    <n v="1"/>
    <n v="129"/>
    <s v="Non-veg"/>
    <m/>
    <x v="0"/>
  </r>
  <r>
    <s v="CS-250501-0289"/>
    <x v="31"/>
    <s v="Friday"/>
    <x v="1"/>
    <s v="SUBSCRIPTION"/>
    <x v="37"/>
    <n v="1"/>
    <n v="99"/>
    <s v="Veg"/>
    <m/>
    <x v="0"/>
  </r>
  <r>
    <s v="CS-250502-0015"/>
    <x v="31"/>
    <s v="Friday"/>
    <x v="0"/>
    <s v="REGULAR"/>
    <x v="128"/>
    <n v="1"/>
    <n v="250"/>
    <s v="Veg"/>
    <m/>
    <x v="1"/>
  </r>
  <r>
    <m/>
    <x v="1"/>
    <m/>
    <x v="3"/>
    <m/>
    <x v="35"/>
    <n v="1"/>
    <m/>
    <s v="Veg"/>
    <m/>
    <x v="1"/>
  </r>
  <r>
    <m/>
    <x v="1"/>
    <m/>
    <x v="3"/>
    <m/>
    <x v="58"/>
    <n v="1"/>
    <m/>
    <s v="Non-veg"/>
    <m/>
    <x v="1"/>
  </r>
  <r>
    <s v="CS-250502-0060"/>
    <x v="31"/>
    <s v="Friday"/>
    <x v="0"/>
    <s v="REGULAR"/>
    <x v="36"/>
    <n v="1"/>
    <n v="310"/>
    <s v="Non-veg"/>
    <m/>
    <x v="1"/>
  </r>
  <r>
    <m/>
    <x v="1"/>
    <m/>
    <x v="3"/>
    <m/>
    <x v="91"/>
    <n v="1"/>
    <m/>
    <s v="Non-veg"/>
    <m/>
    <x v="1"/>
  </r>
  <r>
    <s v="CS-250502-0061"/>
    <x v="31"/>
    <s v="Friday"/>
    <x v="0"/>
    <s v="REGULAR"/>
    <x v="34"/>
    <n v="1"/>
    <n v="200"/>
    <s v="Veg"/>
    <m/>
    <x v="1"/>
  </r>
  <r>
    <m/>
    <x v="1"/>
    <m/>
    <x v="3"/>
    <m/>
    <x v="59"/>
    <n v="1"/>
    <m/>
    <s v="Non-veg"/>
    <m/>
    <x v="1"/>
  </r>
  <r>
    <s v="CS-250502-0064"/>
    <x v="31"/>
    <s v="Friday"/>
    <x v="0"/>
    <s v="REGULAR"/>
    <x v="138"/>
    <n v="1"/>
    <n v="190"/>
    <s v="Non-veg"/>
    <m/>
    <x v="1"/>
  </r>
  <r>
    <s v="CS-250502-0101"/>
    <x v="31"/>
    <s v="Friday"/>
    <x v="0"/>
    <s v="REGULAR"/>
    <x v="8"/>
    <n v="1"/>
    <n v="190"/>
    <s v="Non-veg"/>
    <m/>
    <x v="1"/>
  </r>
  <r>
    <m/>
    <x v="1"/>
    <m/>
    <x v="3"/>
    <m/>
    <x v="52"/>
    <n v="1"/>
    <m/>
    <s v="Non-veg"/>
    <m/>
    <x v="1"/>
  </r>
  <r>
    <s v="CS-250502-0104"/>
    <x v="31"/>
    <s v="Friday"/>
    <x v="0"/>
    <s v="REGULAR"/>
    <x v="45"/>
    <n v="1"/>
    <n v="270"/>
    <s v="Veg"/>
    <m/>
    <x v="1"/>
  </r>
  <r>
    <m/>
    <x v="1"/>
    <m/>
    <x v="3"/>
    <m/>
    <x v="35"/>
    <n v="1"/>
    <m/>
    <s v="Veg"/>
    <m/>
    <x v="1"/>
  </r>
  <r>
    <m/>
    <x v="1"/>
    <m/>
    <x v="3"/>
    <m/>
    <x v="51"/>
    <n v="1"/>
    <m/>
    <s v="Veg"/>
    <m/>
    <x v="1"/>
  </r>
  <r>
    <s v="CS-250502-0108"/>
    <x v="31"/>
    <s v="Friday"/>
    <x v="0"/>
    <s v="REGULAR"/>
    <x v="91"/>
    <n v="1"/>
    <n v="310"/>
    <s v="Non-veg"/>
    <m/>
    <x v="1"/>
  </r>
  <r>
    <m/>
    <x v="1"/>
    <m/>
    <x v="3"/>
    <m/>
    <x v="36"/>
    <n v="1"/>
    <m/>
    <s v="Non-veg"/>
    <m/>
    <x v="1"/>
  </r>
  <r>
    <s v="CS-250502-0124"/>
    <x v="31"/>
    <s v="Friday"/>
    <x v="0"/>
    <s v="REGULAR"/>
    <x v="45"/>
    <n v="1"/>
    <n v="405"/>
    <s v="Veg"/>
    <m/>
    <x v="1"/>
  </r>
  <r>
    <m/>
    <x v="1"/>
    <m/>
    <x v="3"/>
    <m/>
    <x v="64"/>
    <n v="1"/>
    <m/>
    <s v="Veg"/>
    <m/>
    <x v="1"/>
  </r>
  <r>
    <m/>
    <x v="1"/>
    <m/>
    <x v="3"/>
    <m/>
    <x v="103"/>
    <n v="1"/>
    <m/>
    <s v="Veg"/>
    <m/>
    <x v="1"/>
  </r>
  <r>
    <m/>
    <x v="1"/>
    <m/>
    <x v="3"/>
    <m/>
    <x v="28"/>
    <n v="1"/>
    <m/>
    <s v="Veg"/>
    <m/>
    <x v="1"/>
  </r>
  <r>
    <m/>
    <x v="1"/>
    <m/>
    <x v="3"/>
    <m/>
    <x v="92"/>
    <n v="1"/>
    <m/>
    <s v="Veg"/>
    <m/>
    <x v="1"/>
  </r>
  <r>
    <s v="CS-250502-0131"/>
    <x v="31"/>
    <s v="Friday"/>
    <x v="0"/>
    <s v="REGULAR"/>
    <x v="63"/>
    <n v="1"/>
    <n v="170"/>
    <s v="Non-veg"/>
    <m/>
    <x v="1"/>
  </r>
  <r>
    <s v="CS-250502-0249"/>
    <x v="32"/>
    <s v="Saturday"/>
    <x v="1"/>
    <s v="SUBSCRIPTION"/>
    <x v="54"/>
    <n v="1"/>
    <n v="149"/>
    <s v="Non-veg"/>
    <m/>
    <x v="0"/>
  </r>
  <r>
    <s v="CS-250502-0254"/>
    <x v="32"/>
    <s v="Saturday"/>
    <x v="0"/>
    <s v="SUBSCRIPTION"/>
    <x v="144"/>
    <n v="2"/>
    <n v="129"/>
    <s v="Veg"/>
    <m/>
    <x v="0"/>
  </r>
  <r>
    <s v="CS-250503-0071"/>
    <x v="33"/>
    <s v="Sunday"/>
    <x v="0"/>
    <s v="REGULAR"/>
    <x v="31"/>
    <n v="1"/>
    <n v="280"/>
    <s v="Non-veg"/>
    <m/>
    <x v="1"/>
  </r>
  <r>
    <s v="CS-250504-0296"/>
    <x v="34"/>
    <s v="Monday"/>
    <x v="0"/>
    <s v="SUBSCRIPTION"/>
    <x v="117"/>
    <n v="1"/>
    <n v="129"/>
    <s v="Veg"/>
    <m/>
    <x v="0"/>
  </r>
  <r>
    <s v="CS-250505-0136"/>
    <x v="34"/>
    <s v="Monday"/>
    <x v="0"/>
    <s v="REGULAR"/>
    <x v="96"/>
    <n v="1"/>
    <n v="160"/>
    <s v="Veg"/>
    <m/>
    <x v="1"/>
  </r>
  <r>
    <s v="CS-250505-0248"/>
    <x v="35"/>
    <s v="Tuesday"/>
    <x v="0"/>
    <s v="SUBSCRIPTION"/>
    <x v="119"/>
    <n v="1"/>
    <n v="129"/>
    <s v="Veg"/>
    <m/>
    <x v="0"/>
  </r>
  <r>
    <s v="CS-250506-0040"/>
    <x v="35"/>
    <s v="Tuesday"/>
    <x v="0"/>
    <s v="REGULAR"/>
    <x v="50"/>
    <n v="1"/>
    <n v="190"/>
    <s v="Non-veg"/>
    <m/>
    <x v="1"/>
  </r>
  <r>
    <s v="CS-250506-0058"/>
    <x v="35"/>
    <s v="Tuesday"/>
    <x v="0"/>
    <s v="REGULAR"/>
    <x v="35"/>
    <n v="1"/>
    <n v="425"/>
    <s v="Veg"/>
    <m/>
    <x v="1"/>
  </r>
  <r>
    <m/>
    <x v="1"/>
    <m/>
    <x v="3"/>
    <m/>
    <x v="61"/>
    <n v="1"/>
    <m/>
    <s v="Veg"/>
    <m/>
    <x v="1"/>
  </r>
  <r>
    <m/>
    <x v="1"/>
    <m/>
    <x v="3"/>
    <m/>
    <x v="31"/>
    <n v="1"/>
    <m/>
    <s v="Non-veg"/>
    <m/>
    <x v="1"/>
  </r>
  <r>
    <s v="CS-250506-0060"/>
    <x v="35"/>
    <s v="Tuesday"/>
    <x v="0"/>
    <s v="REGULAR"/>
    <x v="36"/>
    <n v="2"/>
    <n v="580"/>
    <s v="Non-veg"/>
    <m/>
    <x v="1"/>
  </r>
  <r>
    <m/>
    <x v="1"/>
    <m/>
    <x v="3"/>
    <m/>
    <x v="86"/>
    <n v="2"/>
    <m/>
    <s v="Veg"/>
    <m/>
    <x v="1"/>
  </r>
  <r>
    <s v="CS-250506-0075"/>
    <x v="35"/>
    <s v="Tuesday"/>
    <x v="0"/>
    <s v="REGULAR"/>
    <x v="30"/>
    <n v="1"/>
    <n v="190"/>
    <s v="Non-veg"/>
    <m/>
    <x v="1"/>
  </r>
  <r>
    <s v="CS-250506-0076"/>
    <x v="35"/>
    <s v="Tuesday"/>
    <x v="0"/>
    <s v="REGULAR"/>
    <x v="5"/>
    <n v="1"/>
    <n v="470"/>
    <s v="Veg"/>
    <m/>
    <x v="1"/>
  </r>
  <r>
    <m/>
    <x v="1"/>
    <m/>
    <x v="3"/>
    <m/>
    <x v="61"/>
    <n v="1"/>
    <m/>
    <s v="Veg"/>
    <m/>
    <x v="1"/>
  </r>
  <r>
    <m/>
    <x v="1"/>
    <m/>
    <x v="3"/>
    <m/>
    <x v="51"/>
    <n v="1"/>
    <m/>
    <s v="Veg"/>
    <m/>
    <x v="1"/>
  </r>
  <r>
    <m/>
    <x v="1"/>
    <m/>
    <x v="3"/>
    <m/>
    <x v="92"/>
    <n v="1"/>
    <m/>
    <s v="Veg"/>
    <m/>
    <x v="1"/>
  </r>
  <r>
    <m/>
    <x v="1"/>
    <m/>
    <x v="3"/>
    <m/>
    <x v="108"/>
    <n v="1"/>
    <m/>
    <s v="Non-veg"/>
    <m/>
    <x v="1"/>
  </r>
  <r>
    <s v="CS-250506-0193"/>
    <x v="36"/>
    <s v="Wednesday"/>
    <x v="0"/>
    <s v="SUBSCRIPTION"/>
    <x v="122"/>
    <n v="1"/>
    <n v="129"/>
    <s v="Veg"/>
    <m/>
    <x v="0"/>
  </r>
  <r>
    <s v="CS-250506-0308"/>
    <x v="36"/>
    <s v="Wednesday"/>
    <x v="0"/>
    <s v="REGULAR"/>
    <x v="71"/>
    <n v="2"/>
    <n v="570"/>
    <s v="Non-veg"/>
    <m/>
    <x v="1"/>
  </r>
  <r>
    <m/>
    <x v="1"/>
    <m/>
    <x v="3"/>
    <m/>
    <x v="8"/>
    <n v="1"/>
    <m/>
    <s v="Non-veg"/>
    <m/>
    <x v="1"/>
  </r>
  <r>
    <m/>
    <x v="1"/>
    <m/>
    <x v="3"/>
    <m/>
    <x v="61"/>
    <n v="1"/>
    <m/>
    <s v="Veg"/>
    <m/>
    <x v="1"/>
  </r>
  <r>
    <s v="CS-250507-0059"/>
    <x v="36"/>
    <s v="Wednesday"/>
    <x v="0"/>
    <s v="REGULAR"/>
    <x v="50"/>
    <n v="1"/>
    <n v="190"/>
    <s v="Non-veg"/>
    <m/>
    <x v="1"/>
  </r>
  <r>
    <s v="CS-250507-0069"/>
    <x v="36"/>
    <s v="Wednesday"/>
    <x v="0"/>
    <s v="REGULAR"/>
    <x v="27"/>
    <n v="1"/>
    <n v="230"/>
    <s v="Veg"/>
    <m/>
    <x v="1"/>
  </r>
  <r>
    <m/>
    <x v="1"/>
    <m/>
    <x v="3"/>
    <m/>
    <x v="91"/>
    <n v="1"/>
    <m/>
    <s v="Non-veg"/>
    <m/>
    <x v="1"/>
  </r>
  <r>
    <s v="CS-250507-0088"/>
    <x v="36"/>
    <s v="Wednesday"/>
    <x v="0"/>
    <s v="REGULAR"/>
    <x v="5"/>
    <n v="1"/>
    <n v="165"/>
    <s v="Veg"/>
    <m/>
    <x v="1"/>
  </r>
  <r>
    <m/>
    <x v="1"/>
    <m/>
    <x v="3"/>
    <m/>
    <x v="145"/>
    <n v="1"/>
    <m/>
    <s v="Non-veg"/>
    <m/>
    <x v="1"/>
  </r>
  <r>
    <s v="CS-250507-0088"/>
    <x v="36"/>
    <s v="Wednesday"/>
    <x v="0"/>
    <s v="REGULAR"/>
    <x v="31"/>
    <n v="1"/>
    <n v="280"/>
    <s v="Non-veg"/>
    <m/>
    <x v="1"/>
  </r>
  <r>
    <s v="CS-250507-0103"/>
    <x v="36"/>
    <s v="Wednesday"/>
    <x v="0"/>
    <s v="REGULAR"/>
    <x v="146"/>
    <n v="1"/>
    <n v="140"/>
    <s v="Non-veg"/>
    <m/>
    <x v="1"/>
  </r>
  <r>
    <s v="CS-250507-0105"/>
    <x v="36"/>
    <s v="Wednesday"/>
    <x v="0"/>
    <s v="REGULAR"/>
    <x v="104"/>
    <n v="2"/>
    <n v="475"/>
    <s v="Veg"/>
    <m/>
    <x v="1"/>
  </r>
  <r>
    <m/>
    <x v="1"/>
    <m/>
    <x v="3"/>
    <m/>
    <x v="51"/>
    <n v="1"/>
    <m/>
    <s v="Veg"/>
    <m/>
    <x v="1"/>
  </r>
  <r>
    <m/>
    <x v="1"/>
    <m/>
    <x v="3"/>
    <m/>
    <x v="138"/>
    <n v="1"/>
    <m/>
    <s v="Non-veg"/>
    <m/>
    <x v="1"/>
  </r>
  <r>
    <m/>
    <x v="1"/>
    <m/>
    <x v="3"/>
    <m/>
    <x v="9"/>
    <n v="1"/>
    <m/>
    <s v="Veg"/>
    <m/>
    <x v="1"/>
  </r>
  <r>
    <s v="CS-250507-0190"/>
    <x v="37"/>
    <s v="Thursday"/>
    <x v="0"/>
    <s v="SUBSCRIPTION"/>
    <x v="126"/>
    <n v="1"/>
    <n v="129"/>
    <s v="Veg"/>
    <m/>
    <x v="0"/>
  </r>
  <r>
    <s v="CS-250508-0030"/>
    <x v="37"/>
    <s v="Thursday"/>
    <x v="0"/>
    <s v="REGULAR"/>
    <x v="9"/>
    <n v="1"/>
    <n v="210"/>
    <s v="Veg"/>
    <m/>
    <x v="1"/>
  </r>
  <r>
    <m/>
    <x v="1"/>
    <m/>
    <x v="3"/>
    <m/>
    <x v="61"/>
    <n v="1"/>
    <m/>
    <s v="Veg"/>
    <m/>
    <x v="1"/>
  </r>
  <r>
    <m/>
    <x v="1"/>
    <m/>
    <x v="3"/>
    <m/>
    <x v="103"/>
    <n v="1"/>
    <m/>
    <s v="Veg"/>
    <m/>
    <x v="1"/>
  </r>
  <r>
    <s v="CS-250508-0051"/>
    <x v="37"/>
    <s v="Thursday"/>
    <x v="0"/>
    <s v="REGULAR"/>
    <x v="8"/>
    <n v="1"/>
    <n v="80"/>
    <s v="Non-veg"/>
    <m/>
    <x v="1"/>
  </r>
  <r>
    <s v="CS-250508-0052"/>
    <x v="37"/>
    <s v="Thursday"/>
    <x v="0"/>
    <s v="REGULAR"/>
    <x v="108"/>
    <n v="1"/>
    <n v="280"/>
    <s v="Non-veg"/>
    <m/>
    <x v="1"/>
  </r>
  <r>
    <m/>
    <x v="1"/>
    <m/>
    <x v="3"/>
    <m/>
    <x v="35"/>
    <n v="1"/>
    <m/>
    <s v="Veg"/>
    <m/>
    <x v="1"/>
  </r>
  <r>
    <s v="CS-250508-0059"/>
    <x v="37"/>
    <s v="Thursday"/>
    <x v="0"/>
    <s v="REGULAR"/>
    <x v="147"/>
    <n v="1"/>
    <n v="240"/>
    <s v="Veg"/>
    <m/>
    <x v="1"/>
  </r>
  <r>
    <m/>
    <x v="1"/>
    <m/>
    <x v="3"/>
    <m/>
    <x v="34"/>
    <n v="1"/>
    <m/>
    <s v="Veg"/>
    <m/>
    <x v="1"/>
  </r>
  <r>
    <s v="CS-250508-0068"/>
    <x v="37"/>
    <s v="Thursday"/>
    <x v="0"/>
    <s v="REGULAR"/>
    <x v="92"/>
    <n v="1"/>
    <n v="270"/>
    <s v="Non-veg"/>
    <m/>
    <x v="1"/>
  </r>
  <r>
    <m/>
    <x v="1"/>
    <m/>
    <x v="3"/>
    <m/>
    <x v="35"/>
    <n v="1"/>
    <m/>
    <s v="Veg"/>
    <m/>
    <x v="1"/>
  </r>
  <r>
    <m/>
    <x v="1"/>
    <m/>
    <x v="3"/>
    <m/>
    <x v="45"/>
    <n v="1"/>
    <m/>
    <s v="Veg"/>
    <m/>
    <x v="1"/>
  </r>
  <r>
    <s v="CS-250508-0098"/>
    <x v="37"/>
    <s v="Thursday"/>
    <x v="0"/>
    <s v="REGULAR"/>
    <x v="7"/>
    <n v="1"/>
    <n v="375"/>
    <s v="Veg"/>
    <m/>
    <x v="1"/>
  </r>
  <r>
    <m/>
    <x v="1"/>
    <m/>
    <x v="3"/>
    <m/>
    <x v="107"/>
    <n v="1"/>
    <m/>
    <s v="Non-veg"/>
    <m/>
    <x v="1"/>
  </r>
  <r>
    <m/>
    <x v="1"/>
    <m/>
    <x v="3"/>
    <m/>
    <x v="91"/>
    <n v="1"/>
    <m/>
    <s v="Non-veg"/>
    <m/>
    <x v="1"/>
  </r>
  <r>
    <s v="CS-250508-0114"/>
    <x v="37"/>
    <s v="Thursday"/>
    <x v="0"/>
    <s v="REGULAR"/>
    <x v="98"/>
    <n v="1"/>
    <n v="80"/>
    <s v="Non-veg"/>
    <m/>
    <x v="1"/>
  </r>
  <r>
    <s v="CS-250508-0124"/>
    <x v="37"/>
    <s v="Thursday"/>
    <x v="0"/>
    <s v="REGULAR"/>
    <x v="50"/>
    <n v="2"/>
    <n v="510"/>
    <s v="Non-veg"/>
    <m/>
    <x v="1"/>
  </r>
  <r>
    <m/>
    <x v="1"/>
    <m/>
    <x v="3"/>
    <m/>
    <x v="86"/>
    <n v="1"/>
    <m/>
    <s v="Veg"/>
    <m/>
    <x v="1"/>
  </r>
  <r>
    <s v="CS-250508-0127"/>
    <x v="37"/>
    <s v="Thursday"/>
    <x v="0"/>
    <s v="REGULAR"/>
    <x v="36"/>
    <n v="1"/>
    <n v="235"/>
    <s v="Non-veg"/>
    <m/>
    <x v="1"/>
  </r>
  <r>
    <m/>
    <x v="1"/>
    <m/>
    <x v="3"/>
    <m/>
    <x v="104"/>
    <n v="1"/>
    <m/>
    <s v="Veg"/>
    <m/>
    <x v="1"/>
  </r>
  <r>
    <s v="CS-250507-0013"/>
    <x v="38"/>
    <s v="Friday"/>
    <x v="0"/>
    <s v="REGULAR"/>
    <x v="75"/>
    <n v="1"/>
    <n v="520"/>
    <s v="Non-veg"/>
    <m/>
    <x v="1"/>
  </r>
  <r>
    <m/>
    <x v="1"/>
    <m/>
    <x v="3"/>
    <m/>
    <x v="91"/>
    <n v="1"/>
    <m/>
    <s v="Non-veg"/>
    <m/>
    <x v="1"/>
  </r>
  <r>
    <m/>
    <x v="1"/>
    <m/>
    <x v="3"/>
    <m/>
    <x v="45"/>
    <n v="1"/>
    <m/>
    <s v="Veg"/>
    <m/>
    <x v="1"/>
  </r>
  <r>
    <m/>
    <x v="1"/>
    <m/>
    <x v="3"/>
    <m/>
    <x v="27"/>
    <n v="1"/>
    <m/>
    <s v="Veg"/>
    <m/>
    <x v="1"/>
  </r>
  <r>
    <s v="CS-250507-0053"/>
    <x v="38"/>
    <s v="Friday"/>
    <x v="0"/>
    <s v="REGULAR"/>
    <x v="93"/>
    <n v="1"/>
    <n v="480"/>
    <s v="Non-veg"/>
    <m/>
    <x v="1"/>
  </r>
  <r>
    <m/>
    <x v="1"/>
    <m/>
    <x v="3"/>
    <m/>
    <x v="91"/>
    <n v="1"/>
    <m/>
    <s v="Non-veg"/>
    <m/>
    <x v="1"/>
  </r>
  <r>
    <s v="CS-250508-0184"/>
    <x v="38"/>
    <s v="Friday"/>
    <x v="0"/>
    <s v="SUBSCRIPTION"/>
    <x v="129"/>
    <n v="1"/>
    <n v="129"/>
    <s v="Veg"/>
    <m/>
    <x v="0"/>
  </r>
  <r>
    <s v="CS-250508-0163"/>
    <x v="38"/>
    <s v="Friday"/>
    <x v="0"/>
    <s v="SUBSCRIPTION"/>
    <x v="42"/>
    <n v="1"/>
    <n v="149"/>
    <s v="Non-veg"/>
    <m/>
    <x v="0"/>
  </r>
  <r>
    <s v="CS-250508-0180"/>
    <x v="38"/>
    <s v="Friday"/>
    <x v="2"/>
    <s v="SUBSCRIPTION"/>
    <x v="148"/>
    <n v="1"/>
    <n v="112"/>
    <s v="Non-veg"/>
    <m/>
    <x v="0"/>
  </r>
  <r>
    <s v="CS-250508-0175"/>
    <x v="38"/>
    <s v="Friday"/>
    <x v="0"/>
    <s v="SUBSCRIPTION"/>
    <x v="143"/>
    <n v="1"/>
    <n v="99"/>
    <s v="Veg"/>
    <m/>
    <x v="0"/>
  </r>
  <r>
    <s v="CS-250508-0189"/>
    <x v="38"/>
    <s v="Friday"/>
    <x v="1"/>
    <s v="SUBSCRIPTION"/>
    <x v="40"/>
    <n v="1"/>
    <n v="129"/>
    <s v="Non-veg"/>
    <m/>
    <x v="0"/>
  </r>
  <r>
    <s v="CS-250509-0003"/>
    <x v="38"/>
    <s v="Friday"/>
    <x v="0"/>
    <s v="REGULAR"/>
    <x v="132"/>
    <n v="2"/>
    <n v="465"/>
    <s v="Veg"/>
    <m/>
    <x v="1"/>
  </r>
  <r>
    <m/>
    <x v="1"/>
    <m/>
    <x v="3"/>
    <m/>
    <x v="61"/>
    <n v="2"/>
    <m/>
    <s v="Veg"/>
    <m/>
    <x v="1"/>
  </r>
  <r>
    <m/>
    <x v="1"/>
    <m/>
    <x v="3"/>
    <m/>
    <x v="29"/>
    <n v="1"/>
    <m/>
    <s v="Veg"/>
    <m/>
    <x v="1"/>
  </r>
  <r>
    <m/>
    <x v="1"/>
    <m/>
    <x v="3"/>
    <m/>
    <x v="9"/>
    <n v="2"/>
    <m/>
    <s v="Veg"/>
    <m/>
    <x v="1"/>
  </r>
  <r>
    <s v="CS-250509-0062"/>
    <x v="38"/>
    <s v="Friday"/>
    <x v="0"/>
    <s v="REGULAR"/>
    <x v="45"/>
    <n v="1"/>
    <n v="270"/>
    <s v="Veg"/>
    <m/>
    <x v="1"/>
  </r>
  <r>
    <m/>
    <x v="1"/>
    <m/>
    <x v="3"/>
    <m/>
    <x v="35"/>
    <n v="1"/>
    <m/>
    <s v="Veg"/>
    <m/>
    <x v="1"/>
  </r>
  <r>
    <m/>
    <x v="1"/>
    <m/>
    <x v="3"/>
    <m/>
    <x v="92"/>
    <n v="1"/>
    <m/>
    <s v="Veg"/>
    <m/>
    <x v="1"/>
  </r>
  <r>
    <s v="CS-250509-0072"/>
    <x v="38"/>
    <s v="Friday"/>
    <x v="0"/>
    <s v="REGULAR"/>
    <x v="71"/>
    <n v="1"/>
    <n v="435"/>
    <s v="Non-veg"/>
    <m/>
    <x v="1"/>
  </r>
  <r>
    <m/>
    <x v="1"/>
    <m/>
    <x v="3"/>
    <m/>
    <x v="61"/>
    <n v="1"/>
    <m/>
    <s v="Veg"/>
    <m/>
    <x v="1"/>
  </r>
  <r>
    <m/>
    <x v="1"/>
    <m/>
    <x v="3"/>
    <m/>
    <x v="50"/>
    <n v="1"/>
    <m/>
    <s v="Non-veg"/>
    <m/>
    <x v="1"/>
  </r>
  <r>
    <s v="CS-250509-0079"/>
    <x v="38"/>
    <s v="Friday"/>
    <x v="0"/>
    <s v="REGULAR"/>
    <x v="91"/>
    <n v="1"/>
    <n v="375"/>
    <s v="Non-veg"/>
    <m/>
    <x v="1"/>
  </r>
  <r>
    <m/>
    <x v="1"/>
    <m/>
    <x v="3"/>
    <m/>
    <x v="128"/>
    <n v="1"/>
    <m/>
    <s v="Veg"/>
    <m/>
    <x v="1"/>
  </r>
  <r>
    <m/>
    <x v="1"/>
    <m/>
    <x v="3"/>
    <m/>
    <x v="92"/>
    <n v="1"/>
    <m/>
    <s v="Veg"/>
    <m/>
    <x v="1"/>
  </r>
  <r>
    <m/>
    <x v="1"/>
    <m/>
    <x v="3"/>
    <m/>
    <x v="61"/>
    <n v="1"/>
    <m/>
    <s v="Veg"/>
    <m/>
    <x v="1"/>
  </r>
  <r>
    <s v="CS-250509-0086"/>
    <x v="38"/>
    <s v="Friday"/>
    <x v="0"/>
    <s v="REGULAR"/>
    <x v="9"/>
    <n v="1"/>
    <n v="365"/>
    <s v="Veg"/>
    <m/>
    <x v="1"/>
  </r>
  <r>
    <m/>
    <x v="1"/>
    <m/>
    <x v="3"/>
    <m/>
    <x v="62"/>
    <n v="1"/>
    <m/>
    <s v="Non-veg"/>
    <m/>
    <x v="1"/>
  </r>
  <r>
    <m/>
    <x v="1"/>
    <m/>
    <x v="3"/>
    <m/>
    <x v="75"/>
    <n v="1"/>
    <m/>
    <s v="Non-veg"/>
    <m/>
    <x v="1"/>
  </r>
  <r>
    <s v="CS-250509-0088"/>
    <x v="38"/>
    <s v="Friday"/>
    <x v="0"/>
    <s v="REGULAR"/>
    <x v="34"/>
    <n v="1"/>
    <n v="410"/>
    <s v="Veg"/>
    <m/>
    <x v="1"/>
  </r>
  <r>
    <m/>
    <x v="1"/>
    <m/>
    <x v="3"/>
    <m/>
    <x v="27"/>
    <n v="1"/>
    <m/>
    <s v="Veg"/>
    <m/>
    <x v="1"/>
  </r>
  <r>
    <m/>
    <x v="1"/>
    <m/>
    <x v="3"/>
    <m/>
    <x v="58"/>
    <n v="1"/>
    <m/>
    <s v="Non-veg"/>
    <m/>
    <x v="1"/>
  </r>
  <r>
    <m/>
    <x v="1"/>
    <m/>
    <x v="3"/>
    <m/>
    <x v="65"/>
    <n v="1"/>
    <m/>
    <s v="Non-veg"/>
    <m/>
    <x v="1"/>
  </r>
  <r>
    <s v="CS-250509-0105"/>
    <x v="39"/>
    <s v="Saturday"/>
    <x v="0"/>
    <s v="SUBSCRIPTION"/>
    <x v="53"/>
    <n v="1"/>
    <n v="179"/>
    <s v="Non-veg"/>
    <m/>
    <x v="0"/>
  </r>
  <r>
    <s v="CS-250509-0191"/>
    <x v="39"/>
    <s v="Saturday"/>
    <x v="1"/>
    <s v="SUBSCRIPTION"/>
    <x v="54"/>
    <n v="1"/>
    <n v="149"/>
    <s v="Non-veg"/>
    <m/>
    <x v="0"/>
  </r>
  <r>
    <s v="CS-250509-0195"/>
    <x v="39"/>
    <s v="Saturday"/>
    <x v="0"/>
    <s v="SUBSCRIPTION"/>
    <x v="144"/>
    <n v="1"/>
    <n v="129"/>
    <s v="Veg"/>
    <m/>
    <x v="0"/>
  </r>
  <r>
    <s v="CS-250509-0223"/>
    <x v="39"/>
    <s v="Saturday"/>
    <x v="2"/>
    <s v="SUBSCRIPTION"/>
    <x v="149"/>
    <n v="1"/>
    <n v="117"/>
    <s v="Non-veg"/>
    <m/>
    <x v="0"/>
  </r>
  <r>
    <s v="CS-250509-0305"/>
    <x v="39"/>
    <s v="Saturday"/>
    <x v="0"/>
    <s v="REGULAR"/>
    <x v="138"/>
    <n v="1"/>
    <n v="190"/>
    <s v="Non-veg"/>
    <m/>
    <x v="1"/>
  </r>
  <r>
    <s v="CS-250510-0059"/>
    <x v="39"/>
    <s v="Saturday"/>
    <x v="0"/>
    <s v="REGULAR"/>
    <x v="34"/>
    <n v="1"/>
    <n v="260"/>
    <s v="Veg"/>
    <m/>
    <x v="1"/>
  </r>
  <r>
    <m/>
    <x v="1"/>
    <m/>
    <x v="3"/>
    <m/>
    <x v="76"/>
    <n v="1"/>
    <m/>
    <s v="Non-veg"/>
    <m/>
    <x v="1"/>
  </r>
  <r>
    <s v="CS-250510-0065"/>
    <x v="39"/>
    <s v="Saturday"/>
    <x v="0"/>
    <s v="REGULAR"/>
    <x v="45"/>
    <n v="1"/>
    <n v="440"/>
    <s v="Veg"/>
    <m/>
    <x v="1"/>
  </r>
  <r>
    <m/>
    <x v="1"/>
    <m/>
    <x v="3"/>
    <m/>
    <x v="64"/>
    <n v="1"/>
    <m/>
    <s v="Veg"/>
    <m/>
    <x v="1"/>
  </r>
  <r>
    <m/>
    <x v="1"/>
    <m/>
    <x v="3"/>
    <m/>
    <x v="29"/>
    <n v="1"/>
    <m/>
    <s v="Veg"/>
    <m/>
    <x v="1"/>
  </r>
  <r>
    <m/>
    <x v="1"/>
    <m/>
    <x v="3"/>
    <m/>
    <x v="76"/>
    <n v="1"/>
    <m/>
    <s v="Non-veg"/>
    <m/>
    <x v="1"/>
  </r>
  <r>
    <s v="CS-250510-0099"/>
    <x v="39"/>
    <s v="Saturday"/>
    <x v="0"/>
    <s v="REGULAR"/>
    <x v="50"/>
    <n v="1"/>
    <n v="350"/>
    <s v="Non-veg"/>
    <m/>
    <x v="1"/>
  </r>
  <r>
    <m/>
    <x v="1"/>
    <m/>
    <x v="3"/>
    <m/>
    <x v="36"/>
    <n v="1"/>
    <m/>
    <s v="Non-veg"/>
    <m/>
    <x v="1"/>
  </r>
  <r>
    <s v="CS-250510-0100"/>
    <x v="39"/>
    <s v="Saturday"/>
    <x v="0"/>
    <s v="REGULAR"/>
    <x v="8"/>
    <n v="1"/>
    <n v="230"/>
    <s v="Non-veg"/>
    <m/>
    <x v="1"/>
  </r>
  <r>
    <m/>
    <x v="1"/>
    <m/>
    <x v="3"/>
    <m/>
    <x v="130"/>
    <n v="1"/>
    <m/>
    <s v="Non-veg"/>
    <m/>
    <x v="1"/>
  </r>
  <r>
    <s v="CS-250510-0112"/>
    <x v="39"/>
    <s v="Saturday"/>
    <x v="0"/>
    <s v="REGULAR"/>
    <x v="45"/>
    <n v="1"/>
    <n v="280"/>
    <s v="Veg"/>
    <m/>
    <x v="1"/>
  </r>
  <r>
    <m/>
    <x v="1"/>
    <m/>
    <x v="3"/>
    <m/>
    <x v="96"/>
    <n v="1"/>
    <m/>
    <s v="Veg"/>
    <m/>
    <x v="1"/>
  </r>
  <r>
    <s v="CS-250510-0144"/>
    <x v="39"/>
    <s v="Saturday"/>
    <x v="0"/>
    <s v="REGULAR"/>
    <x v="46"/>
    <n v="1"/>
    <n v="350"/>
    <s v="Non-veg"/>
    <m/>
    <x v="1"/>
  </r>
  <r>
    <m/>
    <x v="1"/>
    <m/>
    <x v="3"/>
    <m/>
    <x v="59"/>
    <n v="1"/>
    <m/>
    <s v="Non-veg"/>
    <m/>
    <x v="1"/>
  </r>
  <r>
    <m/>
    <x v="1"/>
    <m/>
    <x v="3"/>
    <m/>
    <x v="125"/>
    <n v="1"/>
    <m/>
    <s v="Non-veg"/>
    <m/>
    <x v="1"/>
  </r>
  <r>
    <s v="CS-250510-0226"/>
    <x v="40"/>
    <s v="Sunday"/>
    <x v="1"/>
    <s v="SUBSCRIPTION"/>
    <x v="66"/>
    <n v="1"/>
    <n v="129"/>
    <s v="Non-veg"/>
    <m/>
    <x v="0"/>
  </r>
  <r>
    <s v="CS-250510-0225"/>
    <x v="40"/>
    <s v="Sunday"/>
    <x v="2"/>
    <s v="SUBSCRIPTION"/>
    <x v="70"/>
    <n v="1"/>
    <n v="117"/>
    <s v="Non-veg"/>
    <m/>
    <x v="0"/>
  </r>
  <r>
    <s v="CS-250510-0234"/>
    <x v="40"/>
    <s v="Sunday"/>
    <x v="0"/>
    <s v="SUBSCRIPTION"/>
    <x v="67"/>
    <n v="1"/>
    <n v="149"/>
    <s v="Non-veg"/>
    <m/>
    <x v="0"/>
  </r>
  <r>
    <s v="CS-250510-0252"/>
    <x v="40"/>
    <s v="Sunday"/>
    <x v="2"/>
    <s v="SUBSCRIPTION"/>
    <x v="69"/>
    <n v="1"/>
    <n v="99"/>
    <s v="Veg"/>
    <m/>
    <x v="0"/>
  </r>
  <r>
    <s v="CS-250510-0275"/>
    <x v="40"/>
    <s v="Sunday"/>
    <x v="0"/>
    <s v="REGULAR"/>
    <x v="48"/>
    <n v="1"/>
    <n v="699"/>
    <s v="Non-veg"/>
    <m/>
    <x v="1"/>
  </r>
  <r>
    <s v="CS-250511-0112"/>
    <x v="40"/>
    <s v="Sunday"/>
    <x v="0"/>
    <s v="REGULAR"/>
    <x v="45"/>
    <n v="1"/>
    <n v="190"/>
    <s v="Veg"/>
    <m/>
    <x v="1"/>
  </r>
  <r>
    <m/>
    <x v="1"/>
    <m/>
    <x v="3"/>
    <m/>
    <x v="51"/>
    <n v="1"/>
    <m/>
    <s v="Veg"/>
    <m/>
    <x v="1"/>
  </r>
  <r>
    <s v="CS-250511-0116"/>
    <x v="40"/>
    <s v="Sunday"/>
    <x v="0"/>
    <s v="REGULAR"/>
    <x v="63"/>
    <n v="1"/>
    <n v="170"/>
    <s v="Non-veg"/>
    <m/>
    <x v="1"/>
  </r>
  <r>
    <s v="CS-250511-0124"/>
    <x v="40"/>
    <s v="Sunday"/>
    <x v="0"/>
    <s v="REGULAR"/>
    <x v="51"/>
    <n v="1"/>
    <n v="150"/>
    <s v="Veg"/>
    <m/>
    <x v="1"/>
  </r>
  <r>
    <m/>
    <x v="1"/>
    <m/>
    <x v="3"/>
    <m/>
    <x v="103"/>
    <n v="1"/>
    <m/>
    <s v="Veg"/>
    <m/>
    <x v="1"/>
  </r>
  <r>
    <s v="CS-250511-0138"/>
    <x v="40"/>
    <s v="Sunday"/>
    <x v="0"/>
    <s v="REGULAR"/>
    <x v="50"/>
    <n v="1"/>
    <n v="190"/>
    <s v="Non-veg"/>
    <m/>
    <x v="1"/>
  </r>
  <r>
    <s v="CS-250511-0145"/>
    <x v="40"/>
    <s v="Sunday"/>
    <x v="0"/>
    <s v="REGULAR"/>
    <x v="48"/>
    <n v="1"/>
    <n v="699"/>
    <s v="Non-veg"/>
    <m/>
    <x v="1"/>
  </r>
  <r>
    <s v="CS-250511-0161"/>
    <x v="40"/>
    <s v="Sunday"/>
    <x v="0"/>
    <s v="REGULAR"/>
    <x v="58"/>
    <n v="1"/>
    <n v="655"/>
    <s v="Non-veg"/>
    <m/>
    <x v="1"/>
  </r>
  <r>
    <m/>
    <x v="1"/>
    <m/>
    <x v="3"/>
    <m/>
    <x v="61"/>
    <n v="1"/>
    <m/>
    <s v="Veg"/>
    <m/>
    <x v="1"/>
  </r>
  <r>
    <m/>
    <x v="1"/>
    <m/>
    <x v="3"/>
    <m/>
    <x v="76"/>
    <n v="1"/>
    <m/>
    <s v="Non-veg"/>
    <m/>
    <x v="1"/>
  </r>
  <r>
    <m/>
    <x v="1"/>
    <m/>
    <x v="3"/>
    <m/>
    <x v="93"/>
    <n v="1"/>
    <m/>
    <s v="Non-veg"/>
    <m/>
    <x v="1"/>
  </r>
  <r>
    <s v="CS-250511-0163"/>
    <x v="40"/>
    <s v="Sunday"/>
    <x v="0"/>
    <s v="REGULAR"/>
    <x v="103"/>
    <n v="1"/>
    <n v="280"/>
    <s v="Veg"/>
    <m/>
    <x v="1"/>
  </r>
  <r>
    <m/>
    <x v="1"/>
    <m/>
    <x v="3"/>
    <m/>
    <x v="128"/>
    <n v="1"/>
    <m/>
    <s v="Veg"/>
    <m/>
    <x v="1"/>
  </r>
  <r>
    <m/>
    <x v="1"/>
    <m/>
    <x v="3"/>
    <m/>
    <x v="52"/>
    <n v="1"/>
    <m/>
    <s v="Non-veg"/>
    <m/>
    <x v="1"/>
  </r>
  <r>
    <s v="CS-250511-0326"/>
    <x v="41"/>
    <s v="Monday"/>
    <x v="0"/>
    <s v="SUBSCRIPTION"/>
    <x v="117"/>
    <n v="1"/>
    <n v="129"/>
    <s v="Veg"/>
    <m/>
    <x v="0"/>
  </r>
  <r>
    <s v="CS-250511-0329"/>
    <x v="41"/>
    <s v="Monday"/>
    <x v="0"/>
    <s v="SUBSCRIPTION"/>
    <x v="139"/>
    <n v="1"/>
    <n v="129"/>
    <s v="Veg"/>
    <m/>
    <x v="0"/>
  </r>
  <r>
    <s v="CS-250511-0352"/>
    <x v="41"/>
    <s v="Monday"/>
    <x v="2"/>
    <s v="SUBSCRIPTION"/>
    <x v="79"/>
    <n v="1"/>
    <n v="79"/>
    <s v="Veg"/>
    <m/>
    <x v="0"/>
  </r>
  <r>
    <s v="CS-250511-0323"/>
    <x v="41"/>
    <s v="Monday"/>
    <x v="2"/>
    <s v="SUBSCRIPTION"/>
    <x v="150"/>
    <n v="1"/>
    <n v="112"/>
    <s v="Veg"/>
    <m/>
    <x v="0"/>
  </r>
  <r>
    <s v="CS-250511-0334"/>
    <x v="41"/>
    <s v="Monday"/>
    <x v="1"/>
    <s v="SUBSCRIPTION"/>
    <x v="78"/>
    <n v="1"/>
    <n v="79"/>
    <s v="Veg"/>
    <m/>
    <x v="0"/>
  </r>
  <r>
    <s v="CS-250511-0350"/>
    <x v="41"/>
    <s v="Monday"/>
    <x v="0"/>
    <s v="SUBSCRIPTION"/>
    <x v="83"/>
    <n v="1"/>
    <n v="99"/>
    <s v="Veg"/>
    <m/>
    <x v="0"/>
  </r>
  <r>
    <s v="CS-250511-0423"/>
    <x v="41"/>
    <s v="Monday"/>
    <x v="0"/>
    <s v="REGULAR"/>
    <x v="50"/>
    <n v="1"/>
    <n v="600"/>
    <s v="Non-veg"/>
    <m/>
    <x v="1"/>
  </r>
  <r>
    <m/>
    <x v="1"/>
    <m/>
    <x v="3"/>
    <m/>
    <x v="31"/>
    <n v="1"/>
    <m/>
    <s v="Non-veg"/>
    <m/>
    <x v="1"/>
  </r>
  <r>
    <m/>
    <x v="1"/>
    <m/>
    <x v="3"/>
    <m/>
    <x v="151"/>
    <n v="1"/>
    <m/>
    <s v="Non-veg"/>
    <m/>
    <x v="1"/>
  </r>
  <r>
    <s v="CS-250512-0030"/>
    <x v="41"/>
    <s v="Monday"/>
    <x v="0"/>
    <s v="REGULAR"/>
    <x v="61"/>
    <n v="1"/>
    <n v="205"/>
    <s v="Veg"/>
    <m/>
    <x v="1"/>
  </r>
  <r>
    <m/>
    <x v="1"/>
    <m/>
    <x v="3"/>
    <m/>
    <x v="17"/>
    <n v="1"/>
    <m/>
    <s v="Veg"/>
    <m/>
    <x v="1"/>
  </r>
  <r>
    <s v="CS-250512-0071"/>
    <x v="41"/>
    <s v="Monday"/>
    <x v="0"/>
    <s v="REGULAR"/>
    <x v="65"/>
    <n v="1"/>
    <n v="170"/>
    <s v="Non-veg"/>
    <m/>
    <x v="1"/>
  </r>
  <r>
    <s v="CS-250512-0128"/>
    <x v="41"/>
    <s v="Monday"/>
    <x v="0"/>
    <s v="REGULAR"/>
    <x v="50"/>
    <n v="1"/>
    <n v="190"/>
    <s v="Non-veg"/>
    <m/>
    <x v="1"/>
  </r>
  <r>
    <s v="CS-250512-0131"/>
    <x v="41"/>
    <s v="Monday"/>
    <x v="0"/>
    <s v="REGULAR"/>
    <x v="27"/>
    <n v="1"/>
    <n v="255"/>
    <s v="Veg"/>
    <m/>
    <x v="1"/>
  </r>
  <r>
    <m/>
    <x v="1"/>
    <m/>
    <x v="3"/>
    <m/>
    <x v="9"/>
    <n v="1"/>
    <m/>
    <s v="Veg"/>
    <m/>
    <x v="1"/>
  </r>
  <r>
    <m/>
    <x v="1"/>
    <m/>
    <x v="3"/>
    <m/>
    <x v="52"/>
    <n v="1"/>
    <m/>
    <s v="Non-veg"/>
    <m/>
    <x v="1"/>
  </r>
  <r>
    <s v="CS-250512-0132"/>
    <x v="41"/>
    <s v="Monday"/>
    <x v="0"/>
    <s v="REGULAR"/>
    <x v="33"/>
    <n v="1"/>
    <n v="210"/>
    <s v="Veg"/>
    <m/>
    <x v="1"/>
  </r>
  <r>
    <m/>
    <x v="1"/>
    <m/>
    <x v="3"/>
    <m/>
    <x v="86"/>
    <n v="1"/>
    <m/>
    <s v="Veg"/>
    <m/>
    <x v="1"/>
  </r>
  <r>
    <s v="CS-250512-0210"/>
    <x v="42"/>
    <s v="Tuesday"/>
    <x v="1"/>
    <s v="SUBSCRIPTION"/>
    <x v="2"/>
    <n v="1"/>
    <n v="99"/>
    <s v="Veg"/>
    <m/>
    <x v="0"/>
  </r>
  <r>
    <s v="CS-250512-0219"/>
    <x v="42"/>
    <s v="Tuesday"/>
    <x v="2"/>
    <s v="SUBSCRIPTION"/>
    <x v="4"/>
    <n v="1"/>
    <n v="99"/>
    <s v="Veg"/>
    <m/>
    <x v="0"/>
  </r>
  <r>
    <s v="CS-250512-0220"/>
    <x v="42"/>
    <s v="Tuesday"/>
    <x v="2"/>
    <s v="SUBSCRIPTION"/>
    <x v="4"/>
    <n v="1"/>
    <n v="99"/>
    <s v="Veg"/>
    <m/>
    <x v="0"/>
  </r>
  <r>
    <s v="CS-250512-0227"/>
    <x v="42"/>
    <s v="Tuesday"/>
    <x v="0"/>
    <s v="SUBSCRIPTION"/>
    <x v="87"/>
    <n v="1"/>
    <n v="99"/>
    <s v="Veg"/>
    <m/>
    <x v="0"/>
  </r>
  <r>
    <s v="CS-250512-0231"/>
    <x v="42"/>
    <s v="Tuesday"/>
    <x v="0"/>
    <s v="SUBSCRIPTION"/>
    <x v="119"/>
    <n v="1"/>
    <n v="129"/>
    <s v="Veg"/>
    <m/>
    <x v="0"/>
  </r>
  <r>
    <s v="CS-250512-0235"/>
    <x v="42"/>
    <s v="Tuesday"/>
    <x v="0"/>
    <s v="SUBSCRIPTION"/>
    <x v="140"/>
    <n v="1"/>
    <n v="129"/>
    <s v="Veg"/>
    <m/>
    <x v="0"/>
  </r>
  <r>
    <s v="CS-250512-0202"/>
    <x v="42"/>
    <s v="Tuesday"/>
    <x v="0"/>
    <s v="SUBSCRIPTION"/>
    <x v="140"/>
    <n v="1"/>
    <n v="129"/>
    <s v="Veg"/>
    <m/>
    <x v="0"/>
  </r>
  <r>
    <s v="CS-250512-0228"/>
    <x v="42"/>
    <s v="Tuesday"/>
    <x v="2"/>
    <s v="SUBSCRIPTION"/>
    <x v="4"/>
    <n v="1"/>
    <n v="99"/>
    <s v="Veg"/>
    <m/>
    <x v="0"/>
  </r>
  <r>
    <s v="CS-250512-0241"/>
    <x v="42"/>
    <s v="Tuesday"/>
    <x v="1"/>
    <s v="SUBSCRIPTION"/>
    <x v="2"/>
    <n v="1"/>
    <n v="99"/>
    <s v="Veg"/>
    <m/>
    <x v="0"/>
  </r>
  <r>
    <s v="CS-250512-0287"/>
    <x v="42"/>
    <s v="Tuesday"/>
    <x v="0"/>
    <s v="REGULAR"/>
    <x v="29"/>
    <n v="1"/>
    <n v="205"/>
    <s v="Veg"/>
    <m/>
    <x v="1"/>
  </r>
  <r>
    <m/>
    <x v="1"/>
    <m/>
    <x v="3"/>
    <m/>
    <x v="9"/>
    <n v="1"/>
    <m/>
    <s v="Veg"/>
    <m/>
    <x v="1"/>
  </r>
  <r>
    <m/>
    <x v="1"/>
    <m/>
    <x v="3"/>
    <m/>
    <x v="64"/>
    <n v="1"/>
    <m/>
    <s v="Veg"/>
    <m/>
    <x v="1"/>
  </r>
  <r>
    <s v="CS-250513-0039"/>
    <x v="42"/>
    <s v="Tuesday"/>
    <x v="0"/>
    <s v="REGULAR"/>
    <x v="62"/>
    <n v="1"/>
    <n v="130"/>
    <s v="Non-veg"/>
    <m/>
    <x v="1"/>
  </r>
  <r>
    <s v="CS-250513-0060"/>
    <x v="42"/>
    <s v="Tuesday"/>
    <x v="0"/>
    <s v="REGULAR"/>
    <x v="96"/>
    <n v="1"/>
    <n v="160"/>
    <s v="Veg"/>
    <m/>
    <x v="1"/>
  </r>
  <r>
    <s v="CS-250513-0062"/>
    <x v="42"/>
    <s v="Tuesday"/>
    <x v="0"/>
    <s v="REGULAR"/>
    <x v="7"/>
    <n v="1"/>
    <n v="95"/>
    <s v="Veg"/>
    <m/>
    <x v="1"/>
  </r>
  <r>
    <s v="CS-250513-0074"/>
    <x v="42"/>
    <s v="Tuesday"/>
    <x v="0"/>
    <s v="REGULAR"/>
    <x v="32"/>
    <n v="1"/>
    <n v="190"/>
    <s v="Veg"/>
    <m/>
    <x v="1"/>
  </r>
  <r>
    <s v="CS-250513-0084"/>
    <x v="42"/>
    <s v="Tuesday"/>
    <x v="0"/>
    <s v="REGULAR"/>
    <x v="63"/>
    <n v="1"/>
    <n v="170"/>
    <s v="Non-veg"/>
    <m/>
    <x v="1"/>
  </r>
  <r>
    <s v="CS-250513-0091"/>
    <x v="42"/>
    <s v="Tuesday"/>
    <x v="0"/>
    <s v="REGULAR"/>
    <x v="92"/>
    <n v="1"/>
    <n v="270"/>
    <s v="Veg"/>
    <m/>
    <x v="1"/>
  </r>
  <r>
    <m/>
    <x v="1"/>
    <m/>
    <x v="3"/>
    <m/>
    <x v="35"/>
    <n v="1"/>
    <m/>
    <s v="Veg"/>
    <m/>
    <x v="1"/>
  </r>
  <r>
    <m/>
    <x v="1"/>
    <m/>
    <x v="3"/>
    <m/>
    <x v="45"/>
    <n v="1"/>
    <m/>
    <s v="Veg"/>
    <m/>
    <x v="1"/>
  </r>
  <r>
    <s v="CS-250513-0110"/>
    <x v="42"/>
    <s v="Tuesday"/>
    <x v="0"/>
    <s v="REGULAR"/>
    <x v="45"/>
    <n v="1"/>
    <n v="180"/>
    <s v="Veg"/>
    <m/>
    <x v="1"/>
  </r>
  <r>
    <m/>
    <x v="1"/>
    <m/>
    <x v="3"/>
    <m/>
    <x v="46"/>
    <n v="1"/>
    <m/>
    <s v="Non-veg"/>
    <m/>
    <x v="1"/>
  </r>
  <r>
    <s v="CS-250513-0114"/>
    <x v="42"/>
    <s v="Tuesday"/>
    <x v="0"/>
    <s v="REGULAR"/>
    <x v="50"/>
    <n v="1"/>
    <n v="520"/>
    <s v="Non-veg"/>
    <m/>
    <x v="1"/>
  </r>
  <r>
    <m/>
    <x v="1"/>
    <m/>
    <x v="3"/>
    <m/>
    <x v="65"/>
    <n v="1"/>
    <m/>
    <s v="Non-veg"/>
    <m/>
    <x v="1"/>
  </r>
  <r>
    <m/>
    <x v="1"/>
    <m/>
    <x v="3"/>
    <m/>
    <x v="36"/>
    <n v="1"/>
    <m/>
    <s v="Non-veg"/>
    <m/>
    <x v="1"/>
  </r>
  <r>
    <s v="CS-250513-0202"/>
    <x v="43"/>
    <s v="Wednesday"/>
    <x v="2"/>
    <s v="SUBSCRIPTION"/>
    <x v="15"/>
    <n v="1"/>
    <n v="79"/>
    <s v="Veg"/>
    <m/>
    <x v="0"/>
  </r>
  <r>
    <s v="CS-250513-0209"/>
    <x v="43"/>
    <s v="Wednesday"/>
    <x v="0"/>
    <s v="SUBSCRIPTION"/>
    <x v="102"/>
    <n v="1"/>
    <n v="99"/>
    <s v="Veg"/>
    <m/>
    <x v="0"/>
  </r>
  <r>
    <s v="CS-250513-0199"/>
    <x v="43"/>
    <s v="Wednesday"/>
    <x v="0"/>
    <s v="SUBSCRIPTION"/>
    <x v="152"/>
    <n v="1"/>
    <n v="112"/>
    <s v="Veg"/>
    <m/>
    <x v="0"/>
  </r>
  <r>
    <s v="CS-250513-0221"/>
    <x v="43"/>
    <s v="Wednesday"/>
    <x v="1"/>
    <s v="SUBSCRIPTION"/>
    <x v="11"/>
    <n v="1"/>
    <n v="99"/>
    <s v="Non-veg"/>
    <m/>
    <x v="0"/>
  </r>
  <r>
    <s v="CS-250513-0226"/>
    <x v="43"/>
    <s v="Wednesday"/>
    <x v="0"/>
    <s v="SUBSCRIPTION"/>
    <x v="153"/>
    <n v="1"/>
    <n v="129"/>
    <s v="Veg"/>
    <m/>
    <x v="0"/>
  </r>
  <r>
    <s v="CS-250513-0231"/>
    <x v="43"/>
    <s v="Wednesday"/>
    <x v="0"/>
    <s v="SUBSCRIPTION"/>
    <x v="102"/>
    <n v="1"/>
    <n v="99"/>
    <s v="Veg"/>
    <m/>
    <x v="0"/>
  </r>
  <r>
    <s v="CS-250513-0228"/>
    <x v="43"/>
    <s v="Wednesday"/>
    <x v="1"/>
    <s v="SUBSCRIPTION"/>
    <x v="11"/>
    <n v="1"/>
    <n v="99"/>
    <s v="Non-veg"/>
    <m/>
    <x v="0"/>
  </r>
  <r>
    <s v="CS-250513-0236"/>
    <x v="43"/>
    <s v="Wednesday"/>
    <x v="2"/>
    <s v="SUBSCRIPTION"/>
    <x v="15"/>
    <n v="1"/>
    <n v="79"/>
    <s v="Veg"/>
    <m/>
    <x v="0"/>
  </r>
  <r>
    <s v="CS-250513-0219"/>
    <x v="43"/>
    <s v="Wednesday"/>
    <x v="0"/>
    <s v="SUBSCRIPTION"/>
    <x v="122"/>
    <n v="1"/>
    <n v="129"/>
    <s v="Veg"/>
    <m/>
    <x v="0"/>
  </r>
  <r>
    <s v="CS-250514-0008"/>
    <x v="43"/>
    <s v="Wednesday"/>
    <x v="0"/>
    <s v="REGULAR"/>
    <x v="36"/>
    <n v="1"/>
    <n v="380"/>
    <s v="Non-veg"/>
    <m/>
    <x v="1"/>
  </r>
  <r>
    <m/>
    <x v="1"/>
    <m/>
    <x v="3"/>
    <m/>
    <x v="5"/>
    <n v="1"/>
    <m/>
    <s v="Veg"/>
    <m/>
    <x v="1"/>
  </r>
  <r>
    <m/>
    <x v="1"/>
    <m/>
    <x v="3"/>
    <m/>
    <x v="35"/>
    <n v="1"/>
    <m/>
    <s v="Veg"/>
    <m/>
    <x v="1"/>
  </r>
  <r>
    <m/>
    <x v="1"/>
    <m/>
    <x v="3"/>
    <m/>
    <x v="104"/>
    <n v="1"/>
    <m/>
    <s v="Veg"/>
    <m/>
    <x v="1"/>
  </r>
  <r>
    <s v="CS-250514-0034"/>
    <x v="43"/>
    <s v="Wednesday"/>
    <x v="0"/>
    <s v="REGULAR"/>
    <x v="50"/>
    <n v="1"/>
    <n v="420"/>
    <s v="Non-veg"/>
    <m/>
    <x v="1"/>
  </r>
  <r>
    <m/>
    <x v="1"/>
    <m/>
    <x v="3"/>
    <m/>
    <x v="91"/>
    <n v="1"/>
    <m/>
    <s v="Non-veg"/>
    <m/>
    <x v="1"/>
  </r>
  <r>
    <m/>
    <x v="1"/>
    <m/>
    <x v="3"/>
    <m/>
    <x v="8"/>
    <n v="1"/>
    <m/>
    <s v="Non-veg"/>
    <m/>
    <x v="1"/>
  </r>
  <r>
    <s v="CS-250514-0041"/>
    <x v="43"/>
    <s v="Wednesday"/>
    <x v="0"/>
    <s v="REGULAR"/>
    <x v="64"/>
    <n v="1"/>
    <n v="375"/>
    <s v="Veg"/>
    <m/>
    <x v="1"/>
  </r>
  <r>
    <m/>
    <x v="1"/>
    <m/>
    <x v="3"/>
    <m/>
    <x v="27"/>
    <n v="1"/>
    <m/>
    <s v="Veg"/>
    <m/>
    <x v="1"/>
  </r>
  <r>
    <m/>
    <x v="1"/>
    <m/>
    <x v="3"/>
    <m/>
    <x v="92"/>
    <n v="1"/>
    <m/>
    <s v="Veg"/>
    <m/>
    <x v="1"/>
  </r>
  <r>
    <m/>
    <x v="1"/>
    <m/>
    <x v="3"/>
    <m/>
    <x v="5"/>
    <n v="1"/>
    <m/>
    <s v="Veg"/>
    <m/>
    <x v="1"/>
  </r>
  <r>
    <m/>
    <x v="1"/>
    <m/>
    <x v="3"/>
    <m/>
    <x v="103"/>
    <n v="1"/>
    <m/>
    <s v="Veg"/>
    <m/>
    <x v="1"/>
  </r>
  <r>
    <s v="CS-250514-0056"/>
    <x v="43"/>
    <s v="Wednesday"/>
    <x v="0"/>
    <s v="REGULAR"/>
    <x v="35"/>
    <n v="1"/>
    <n v="475"/>
    <s v="Non-veg"/>
    <m/>
    <x v="1"/>
  </r>
  <r>
    <m/>
    <x v="1"/>
    <m/>
    <x v="3"/>
    <m/>
    <x v="61"/>
    <n v="1"/>
    <m/>
    <s v="Veg"/>
    <m/>
    <x v="1"/>
  </r>
  <r>
    <m/>
    <x v="1"/>
    <m/>
    <x v="3"/>
    <m/>
    <x v="93"/>
    <n v="1"/>
    <m/>
    <s v="Non-veg"/>
    <m/>
    <x v="1"/>
  </r>
  <r>
    <s v="CS-250514-0062"/>
    <x v="43"/>
    <s v="Wednesday"/>
    <x v="0"/>
    <s v="REGULAR"/>
    <x v="92"/>
    <n v="1"/>
    <n v="230"/>
    <s v="Veg"/>
    <m/>
    <x v="1"/>
  </r>
  <r>
    <m/>
    <x v="1"/>
    <m/>
    <x v="3"/>
    <m/>
    <x v="98"/>
    <n v="1"/>
    <m/>
    <s v="Veg"/>
    <m/>
    <x v="1"/>
  </r>
  <r>
    <m/>
    <x v="1"/>
    <m/>
    <x v="3"/>
    <m/>
    <x v="58"/>
    <n v="1"/>
    <m/>
    <s v="Non-veg"/>
    <m/>
    <x v="1"/>
  </r>
  <r>
    <s v="CS-250514-0063"/>
    <x v="43"/>
    <s v="Wednesday"/>
    <x v="0"/>
    <s v="REGULAR"/>
    <x v="63"/>
    <n v="1"/>
    <n v="170"/>
    <s v="Non-veg"/>
    <m/>
    <x v="1"/>
  </r>
  <r>
    <s v="CS-250514-0085"/>
    <x v="43"/>
    <s v="Wednesday"/>
    <x v="0"/>
    <s v="REGULAR"/>
    <x v="76"/>
    <n v="1"/>
    <n v="330"/>
    <s v="Non-veg"/>
    <m/>
    <x v="1"/>
  </r>
  <r>
    <m/>
    <x v="1"/>
    <m/>
    <x v="3"/>
    <m/>
    <x v="91"/>
    <n v="1"/>
    <m/>
    <s v="Non-veg"/>
    <m/>
    <x v="1"/>
  </r>
  <r>
    <s v="CS-250514-0087"/>
    <x v="43"/>
    <s v="Wednesday"/>
    <x v="0"/>
    <s v="REGULAR"/>
    <x v="34"/>
    <n v="1"/>
    <n v="80"/>
    <s v="Veg"/>
    <m/>
    <x v="1"/>
  </r>
  <r>
    <s v="CS-250514-0125"/>
    <x v="43"/>
    <s v="Wednesday"/>
    <x v="0"/>
    <s v="REGULAR"/>
    <x v="91"/>
    <n v="2"/>
    <n v="480"/>
    <s v="Non-veg"/>
    <m/>
    <x v="1"/>
  </r>
  <r>
    <m/>
    <x v="1"/>
    <m/>
    <x v="3"/>
    <m/>
    <x v="71"/>
    <n v="1"/>
    <m/>
    <s v="Non-veg"/>
    <m/>
    <x v="1"/>
  </r>
  <r>
    <s v="CS-250514-0176"/>
    <x v="44"/>
    <s v="Thursday"/>
    <x v="0"/>
    <s v="SUBSCRIPTION"/>
    <x v="142"/>
    <n v="1"/>
    <n v="129"/>
    <s v="Veg"/>
    <m/>
    <x v="0"/>
  </r>
  <r>
    <s v="CS-250514-0181"/>
    <x v="44"/>
    <s v="Thursday"/>
    <x v="0"/>
    <s v="SUBSCRIPTION"/>
    <x v="142"/>
    <n v="1"/>
    <n v="129"/>
    <s v="Veg"/>
    <m/>
    <x v="0"/>
  </r>
  <r>
    <s v="CS-250514-0184"/>
    <x v="44"/>
    <s v="Thursday"/>
    <x v="0"/>
    <s v="SUBSCRIPTION"/>
    <x v="106"/>
    <n v="1"/>
    <n v="99"/>
    <s v="Veg"/>
    <m/>
    <x v="0"/>
  </r>
  <r>
    <s v="CS-250514-0196"/>
    <x v="44"/>
    <s v="Thursday"/>
    <x v="2"/>
    <s v="SUBSCRIPTION"/>
    <x v="154"/>
    <n v="1"/>
    <n v="99"/>
    <s v="Veg"/>
    <m/>
    <x v="0"/>
  </r>
  <r>
    <s v="CS-250514-0192"/>
    <x v="44"/>
    <s v="Thursday"/>
    <x v="2"/>
    <s v="SUBSCRIPTION"/>
    <x v="22"/>
    <n v="1"/>
    <n v="79"/>
    <s v="Veg"/>
    <m/>
    <x v="0"/>
  </r>
  <r>
    <s v="CS-250514-0209"/>
    <x v="44"/>
    <s v="Thursday"/>
    <x v="0"/>
    <s v="SUBSCRIPTION"/>
    <x v="106"/>
    <n v="1"/>
    <n v="99"/>
    <s v="Veg"/>
    <m/>
    <x v="0"/>
  </r>
  <r>
    <s v="CS-250514-0195"/>
    <x v="44"/>
    <s v="Thursday"/>
    <x v="0"/>
    <s v="SUBSCRIPTION"/>
    <x v="142"/>
    <n v="1"/>
    <n v="129"/>
    <s v="Veg"/>
    <m/>
    <x v="0"/>
  </r>
  <r>
    <s v="CS-250514-0189"/>
    <x v="44"/>
    <s v="Thursday"/>
    <x v="2"/>
    <s v="SUBSCRIPTION"/>
    <x v="22"/>
    <n v="1"/>
    <n v="79"/>
    <s v="Veg"/>
    <m/>
    <x v="0"/>
  </r>
  <r>
    <s v="CS-250514-0217"/>
    <x v="44"/>
    <s v="Thursday"/>
    <x v="0"/>
    <s v="SUBSCRIPTION"/>
    <x v="126"/>
    <n v="1"/>
    <n v="129"/>
    <s v="Veg"/>
    <m/>
    <x v="0"/>
  </r>
  <r>
    <s v="CS-250514-0287"/>
    <x v="44"/>
    <s v="Thursday"/>
    <x v="0"/>
    <s v="REGULAR"/>
    <x v="91"/>
    <n v="1"/>
    <n v="150"/>
    <s v="Non-veg"/>
    <m/>
    <x v="1"/>
  </r>
  <r>
    <s v="CS-250515-0059"/>
    <x v="44"/>
    <s v="Thursday"/>
    <x v="0"/>
    <s v="REGULAR"/>
    <x v="107"/>
    <n v="1"/>
    <n v="130"/>
    <s v="Non-veg"/>
    <m/>
    <x v="1"/>
  </r>
  <r>
    <s v="CS-250515-0066"/>
    <x v="44"/>
    <s v="Thursday"/>
    <x v="0"/>
    <s v="REGULAR"/>
    <x v="27"/>
    <n v="1"/>
    <n v="175"/>
    <s v="Veg"/>
    <m/>
    <x v="1"/>
  </r>
  <r>
    <m/>
    <x v="1"/>
    <m/>
    <x v="3"/>
    <m/>
    <x v="7"/>
    <n v="1"/>
    <m/>
    <s v="Veg"/>
    <m/>
    <x v="1"/>
  </r>
  <r>
    <s v="CS-250515-0067"/>
    <x v="44"/>
    <s v="Thursday"/>
    <x v="0"/>
    <s v="REGULAR"/>
    <x v="46"/>
    <n v="1"/>
    <n v="305"/>
    <s v="Non-veg"/>
    <m/>
    <x v="1"/>
  </r>
  <r>
    <m/>
    <x v="1"/>
    <m/>
    <x v="3"/>
    <m/>
    <x v="75"/>
    <n v="1"/>
    <m/>
    <s v="Non-veg"/>
    <m/>
    <x v="1"/>
  </r>
  <r>
    <m/>
    <x v="1"/>
    <m/>
    <x v="3"/>
    <m/>
    <x v="104"/>
    <n v="1"/>
    <m/>
    <s v="Veg"/>
    <m/>
    <x v="1"/>
  </r>
  <r>
    <s v="CS-250515-0068"/>
    <x v="44"/>
    <s v="Thursday"/>
    <x v="0"/>
    <s v="REGULAR"/>
    <x v="147"/>
    <n v="1"/>
    <n v="530"/>
    <s v="Veg"/>
    <m/>
    <x v="1"/>
  </r>
  <r>
    <m/>
    <x v="1"/>
    <m/>
    <x v="3"/>
    <m/>
    <x v="107"/>
    <n v="1"/>
    <m/>
    <s v="Non-veg"/>
    <m/>
    <x v="1"/>
  </r>
  <r>
    <m/>
    <x v="1"/>
    <m/>
    <x v="3"/>
    <m/>
    <x v="86"/>
    <n v="1"/>
    <m/>
    <s v="Veg"/>
    <m/>
    <x v="1"/>
  </r>
  <r>
    <m/>
    <x v="1"/>
    <m/>
    <x v="3"/>
    <m/>
    <x v="52"/>
    <n v="1"/>
    <m/>
    <s v="Non-veg"/>
    <m/>
    <x v="1"/>
  </r>
  <r>
    <s v="CS-250515-0108"/>
    <x v="44"/>
    <s v="Thursday"/>
    <x v="0"/>
    <s v="REGULAR"/>
    <x v="49"/>
    <n v="1"/>
    <n v="210"/>
    <s v="Veg"/>
    <m/>
    <x v="1"/>
  </r>
  <r>
    <m/>
    <x v="1"/>
    <m/>
    <x v="3"/>
    <m/>
    <x v="27"/>
    <n v="1"/>
    <m/>
    <s v="Veg"/>
    <m/>
    <x v="1"/>
  </r>
  <r>
    <m/>
    <x v="1"/>
    <m/>
    <x v="3"/>
    <m/>
    <x v="51"/>
    <n v="1"/>
    <m/>
    <s v="Veg"/>
    <m/>
    <x v="1"/>
  </r>
  <r>
    <s v="CS-250515-0122"/>
    <x v="44"/>
    <s v="Thursday"/>
    <x v="0"/>
    <s v="REGULAR"/>
    <x v="45"/>
    <n v="1"/>
    <n v="120"/>
    <s v="Veg"/>
    <m/>
    <x v="1"/>
  </r>
  <r>
    <s v="CS-250515-0181"/>
    <x v="45"/>
    <s v="Friday"/>
    <x v="0"/>
    <s v="SUBSCRIPTION"/>
    <x v="143"/>
    <n v="1"/>
    <n v="99"/>
    <s v="Veg"/>
    <m/>
    <x v="0"/>
  </r>
  <r>
    <s v="CS-250515-0193"/>
    <x v="45"/>
    <s v="Friday"/>
    <x v="2"/>
    <s v="SUBSCRIPTION"/>
    <x v="43"/>
    <n v="1"/>
    <n v="99"/>
    <s v="Veg"/>
    <m/>
    <x v="0"/>
  </r>
  <r>
    <s v="CS-250515-0198"/>
    <x v="45"/>
    <s v="Friday"/>
    <x v="1"/>
    <s v="SUBSCRIPTION"/>
    <x v="37"/>
    <n v="1"/>
    <n v="99"/>
    <s v="Veg"/>
    <m/>
    <x v="0"/>
  </r>
  <r>
    <s v="CS-250515-0203"/>
    <x v="45"/>
    <s v="Friday"/>
    <x v="2"/>
    <s v="SUBSCRIPTION"/>
    <x v="43"/>
    <n v="1"/>
    <n v="99"/>
    <s v="Veg"/>
    <m/>
    <x v="0"/>
  </r>
  <r>
    <s v="CS-250515-0210"/>
    <x v="45"/>
    <s v="Friday"/>
    <x v="0"/>
    <s v="SUBSCRIPTION"/>
    <x v="109"/>
    <n v="1"/>
    <n v="99"/>
    <s v="Veg"/>
    <m/>
    <x v="0"/>
  </r>
  <r>
    <s v="CS-250515-0214"/>
    <x v="45"/>
    <s v="Friday"/>
    <x v="0"/>
    <s v="SUBSCRIPTION"/>
    <x v="129"/>
    <n v="1"/>
    <n v="129"/>
    <s v="Veg"/>
    <m/>
    <x v="0"/>
  </r>
  <r>
    <s v="CS-250515-0220"/>
    <x v="45"/>
    <s v="Friday"/>
    <x v="0"/>
    <s v="SUBSCRIPTION"/>
    <x v="143"/>
    <n v="1"/>
    <n v="99"/>
    <s v="Veg"/>
    <m/>
    <x v="0"/>
  </r>
  <r>
    <s v="CS-250515-0224"/>
    <x v="45"/>
    <s v="Friday"/>
    <x v="1"/>
    <s v="SUBSCRIPTION"/>
    <x v="155"/>
    <n v="1"/>
    <n v="79"/>
    <s v="Veg"/>
    <m/>
    <x v="0"/>
  </r>
  <r>
    <s v="CS-250515-0221"/>
    <x v="45"/>
    <s v="Friday"/>
    <x v="0"/>
    <s v="SUBSCRIPTION"/>
    <x v="109"/>
    <n v="1"/>
    <n v="99"/>
    <s v="Veg"/>
    <m/>
    <x v="0"/>
  </r>
  <r>
    <s v="CS-250515-0225"/>
    <x v="45"/>
    <s v="Friday"/>
    <x v="2"/>
    <s v="SUBSCRIPTION"/>
    <x v="40"/>
    <n v="1"/>
    <n v="129"/>
    <s v="Non-veg"/>
    <m/>
    <x v="0"/>
  </r>
  <r>
    <s v="CS-250515-0227"/>
    <x v="45"/>
    <s v="Friday"/>
    <x v="2"/>
    <s v="SUBSCRIPTION"/>
    <x v="43"/>
    <n v="1"/>
    <n v="99"/>
    <s v="Veg"/>
    <m/>
    <x v="0"/>
  </r>
  <r>
    <s v="CS-250514-0274"/>
    <x v="45"/>
    <s v="Friday"/>
    <x v="0"/>
    <s v="REGULAR"/>
    <x v="7"/>
    <n v="1"/>
    <n v="255"/>
    <s v="Veg"/>
    <m/>
    <x v="1"/>
  </r>
  <r>
    <m/>
    <x v="1"/>
    <m/>
    <x v="3"/>
    <m/>
    <x v="33"/>
    <n v="1"/>
    <m/>
    <s v="Veg"/>
    <m/>
    <x v="1"/>
  </r>
  <r>
    <m/>
    <x v="1"/>
    <m/>
    <x v="3"/>
    <m/>
    <x v="27"/>
    <n v="1"/>
    <m/>
    <s v="Veg"/>
    <m/>
    <x v="1"/>
  </r>
  <r>
    <s v="CS-250514-0279"/>
    <x v="46"/>
    <s v="Saturday"/>
    <x v="0"/>
    <s v="REGULAR"/>
    <x v="45"/>
    <n v="1"/>
    <n v="405"/>
    <s v="Veg"/>
    <m/>
    <x v="1"/>
  </r>
  <r>
    <m/>
    <x v="1"/>
    <m/>
    <x v="3"/>
    <m/>
    <x v="34"/>
    <n v="1"/>
    <m/>
    <s v="Veg"/>
    <m/>
    <x v="1"/>
  </r>
  <r>
    <m/>
    <x v="1"/>
    <m/>
    <x v="3"/>
    <m/>
    <x v="9"/>
    <n v="1"/>
    <m/>
    <s v="Veg"/>
    <m/>
    <x v="1"/>
  </r>
  <r>
    <m/>
    <x v="1"/>
    <m/>
    <x v="3"/>
    <m/>
    <x v="146"/>
    <n v="1"/>
    <m/>
    <s v="Non-veg"/>
    <m/>
    <x v="1"/>
  </r>
  <r>
    <s v="CS-250514-0280"/>
    <x v="47"/>
    <s v="Sunday"/>
    <x v="0"/>
    <s v="REGULAR"/>
    <x v="57"/>
    <n v="2"/>
    <n v="380"/>
    <s v="Non-veg"/>
    <m/>
    <x v="1"/>
  </r>
  <r>
    <s v="CS-250515-0300"/>
    <x v="48"/>
    <s v="Monday"/>
    <x v="0"/>
    <s v="SUBSCRIPTION"/>
    <x v="117"/>
    <n v="1"/>
    <n v="129"/>
    <s v="Veg"/>
    <m/>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
  <r>
    <s v="CS-250331-0219"/>
    <x v="0"/>
    <x v="0"/>
    <x v="0"/>
    <x v="0"/>
    <s v="Rice(750ml), Sambar(250ml),Vendakkai fry(100ml),keerai poriyal(100ml),Mor (100ml),Rasam(100ml), Appalam"/>
    <n v="1"/>
    <n v="129"/>
    <x v="0"/>
  </r>
  <r>
    <s v="CS-250331-0242"/>
    <x v="0"/>
    <x v="0"/>
    <x v="1"/>
    <x v="0"/>
    <s v="Egg kothu chappathi(500ml) with gravy (100ml)"/>
    <n v="1"/>
    <n v="117"/>
    <x v="0"/>
  </r>
  <r>
    <s v="CS-250331-0232"/>
    <x v="0"/>
    <x v="0"/>
    <x v="1"/>
    <x v="0"/>
    <s v="Ragi idiyapam(4no.s) with white kurma(250ml)"/>
    <n v="1"/>
    <n v="99"/>
    <x v="0"/>
  </r>
  <r>
    <s v="CS-250331-0246"/>
    <x v="0"/>
    <x v="0"/>
    <x v="1"/>
    <x v="0"/>
    <s v="Steamed rice (500ml), Dhal (250ml), Chicken 65 (100ml), Boiled egg (1 nos), Rasam (100ml)"/>
    <n v="1"/>
    <n v="129"/>
    <x v="1"/>
  </r>
  <r>
    <s v="CS-250331-0236"/>
    <x v="0"/>
    <x v="0"/>
    <x v="2"/>
    <x v="0"/>
    <s v="Chapathi (4 nos) with Veg gravy (250ml)"/>
    <n v="2"/>
    <n v="198"/>
    <x v="0"/>
  </r>
  <r>
    <s v="CS-250331-0257"/>
    <x v="0"/>
    <x v="0"/>
    <x v="2"/>
    <x v="0"/>
    <s v="Chapathi (4 nos) with Veg gravy (250ml)"/>
    <n v="1"/>
    <n v="99"/>
    <x v="0"/>
  </r>
  <r>
    <s v="CS-250401-0026"/>
    <x v="0"/>
    <x v="0"/>
    <x v="0"/>
    <x v="1"/>
    <s v="Sambar"/>
    <n v="1"/>
    <n v="65"/>
    <x v="0"/>
  </r>
  <r>
    <s v="CS-250401-0074"/>
    <x v="0"/>
    <x v="0"/>
    <x v="0"/>
    <x v="1"/>
    <s v="Vegetable poriyal, Chicken thokku, Sambar"/>
    <n v="1"/>
    <n v="290"/>
    <x v="0"/>
  </r>
  <r>
    <s v="CS-250401-0087"/>
    <x v="0"/>
    <x v="0"/>
    <x v="0"/>
    <x v="1"/>
    <s v="Rice with sambar and poriyal"/>
    <n v="1"/>
    <n v="95"/>
    <x v="0"/>
  </r>
  <r>
    <s v="CS-250401-0136"/>
    <x v="0"/>
    <x v="0"/>
    <x v="0"/>
    <x v="1"/>
    <s v="Egg kurma"/>
    <n v="1"/>
    <n v="240"/>
    <x v="0"/>
  </r>
  <r>
    <m/>
    <x v="1"/>
    <x v="1"/>
    <x v="3"/>
    <x v="2"/>
    <s v="Vegetable poriyal"/>
    <n v="1"/>
    <m/>
    <x v="0"/>
  </r>
  <r>
    <m/>
    <x v="1"/>
    <x v="1"/>
    <x v="3"/>
    <x v="2"/>
    <s v="Rice with sambar and poriyal"/>
    <n v="1"/>
    <m/>
    <x v="0"/>
  </r>
  <r>
    <s v="CS-250401-0142"/>
    <x v="0"/>
    <x v="0"/>
    <x v="0"/>
    <x v="1"/>
    <s v="Rice with sambar and poriyal"/>
    <n v="1"/>
    <n v="95"/>
    <x v="0"/>
  </r>
  <r>
    <s v="CS-250401-0174"/>
    <x v="2"/>
    <x v="2"/>
    <x v="2"/>
    <x v="0"/>
    <s v="Ragi Chapathi(4no.s) with mushroom gravy(250ml)"/>
    <n v="1"/>
    <n v="117"/>
    <x v="0"/>
  </r>
  <r>
    <s v="CS-250401-0177"/>
    <x v="2"/>
    <x v="2"/>
    <x v="1"/>
    <x v="0"/>
    <s v="Pesarattu dosa(3no.s) with kaara chutney(250ml), Omelette (1 nos)"/>
    <n v="1"/>
    <n v="99"/>
    <x v="1"/>
  </r>
  <r>
    <s v="CS-250401-0183"/>
    <x v="2"/>
    <x v="2"/>
    <x v="0"/>
    <x v="0"/>
    <s v="Rice(750ml), Potato fry(100ml),kathirikkai kootu(100ml),Mor kuzhambu(250ml),Mor(100ml),Rasam(100ml), Appalam"/>
    <n v="1"/>
    <n v="129"/>
    <x v="0"/>
  </r>
  <r>
    <s v="CS-250401-0189"/>
    <x v="2"/>
    <x v="2"/>
    <x v="1"/>
    <x v="0"/>
    <s v="Idly (4 pcs) with Fish kulambu (250ml)"/>
    <n v="1"/>
    <n v="112"/>
    <x v="1"/>
  </r>
  <r>
    <s v="CS-250401-0193"/>
    <x v="2"/>
    <x v="2"/>
    <x v="0"/>
    <x v="0"/>
    <s v="Steamed rice (500ml), Fish gravy (250ml) with pcs, Rasam (100ml)"/>
    <n v="1"/>
    <n v="179"/>
    <x v="1"/>
  </r>
  <r>
    <s v="CS-250401-0192"/>
    <x v="2"/>
    <x v="2"/>
    <x v="2"/>
    <x v="0"/>
    <s v="Uthappam (3 nos) with puthina chutney (250ml)"/>
    <n v="2"/>
    <n v="158"/>
    <x v="0"/>
  </r>
  <r>
    <s v="CS-250401-0208"/>
    <x v="2"/>
    <x v="2"/>
    <x v="0"/>
    <x v="0"/>
    <s v="Steamed rice (500ml), Fish gravy (250ml) with pcs, Rasam (100ml)"/>
    <n v="1"/>
    <n v="179"/>
    <x v="1"/>
  </r>
  <r>
    <s v="CS-250401-0206"/>
    <x v="2"/>
    <x v="2"/>
    <x v="2"/>
    <x v="0"/>
    <s v="Poori(4no.s) with chicken kuzhambu (250ml)"/>
    <n v="1"/>
    <n v="129"/>
    <x v="1"/>
  </r>
  <r>
    <s v="CS-250401-0201"/>
    <x v="2"/>
    <x v="2"/>
    <x v="1"/>
    <x v="0"/>
    <s v="Pesarattu dosa(3no.s) with kaara chutney(250ml), Omelette (1 nos)"/>
    <n v="1"/>
    <n v="99"/>
    <x v="1"/>
  </r>
  <r>
    <s v="CS-250401-0210"/>
    <x v="2"/>
    <x v="2"/>
    <x v="0"/>
    <x v="0"/>
    <s v="Steamed rice (500ml), Fish gravy (250ml) with pcs, Rasam (100ml)"/>
    <n v="1"/>
    <n v="179"/>
    <x v="1"/>
  </r>
  <r>
    <s v="CS-250402-0025"/>
    <x v="2"/>
    <x v="2"/>
    <x v="0"/>
    <x v="1"/>
    <s v="Organic Karuppu kavuni kanji"/>
    <n v="2"/>
    <n v="280"/>
    <x v="0"/>
  </r>
  <r>
    <s v="CS-250402-0208"/>
    <x v="3"/>
    <x v="3"/>
    <x v="0"/>
    <x v="0"/>
    <s v="Rice(750ml), payaru kulambu(250ml), cabbage poriyal(100ml), pudalangai kootu (100ml), rasam(100ml), mor(100ml), appalam"/>
    <n v="1"/>
    <n v="129"/>
    <x v="0"/>
  </r>
  <r>
    <s v="CS-250402-0219"/>
    <x v="3"/>
    <x v="3"/>
    <x v="1"/>
    <x v="0"/>
    <s v="Uluthan kali (500ml) with jaggery"/>
    <n v="1"/>
    <n v="117"/>
    <x v="0"/>
  </r>
  <r>
    <s v="CS-250402-0228"/>
    <x v="3"/>
    <x v="3"/>
    <x v="2"/>
    <x v="0"/>
    <s v="Wheat samba upma(500ml) with coconut chutney(100ml)"/>
    <n v="1"/>
    <n v="79"/>
    <x v="0"/>
  </r>
  <r>
    <s v="CS-250402-0226"/>
    <x v="3"/>
    <x v="3"/>
    <x v="0"/>
    <x v="0"/>
    <s v="Lemon rice (500ml) with egg pepper fry (2no.s)"/>
    <n v="1"/>
    <n v="99"/>
    <x v="1"/>
  </r>
  <r>
    <s v="CS-250402-0239"/>
    <x v="3"/>
    <x v="3"/>
    <x v="2"/>
    <x v="0"/>
    <s v="Rava bath (500ml) with coconut chutney(100ml)"/>
    <n v="2"/>
    <n v="158"/>
    <x v="0"/>
  </r>
  <r>
    <s v="CS-250402-0238"/>
    <x v="3"/>
    <x v="3"/>
    <x v="1"/>
    <x v="0"/>
    <s v="Chicken fried rice (500ml) with sauce"/>
    <n v="1"/>
    <n v="149"/>
    <x v="1"/>
  </r>
  <r>
    <s v="CS-250402-0231"/>
    <x v="3"/>
    <x v="3"/>
    <x v="0"/>
    <x v="0"/>
    <s v="Lemon rice (500ml) with egg pepper fry (2no.s)"/>
    <n v="1"/>
    <n v="99"/>
    <x v="1"/>
  </r>
  <r>
    <s v="CS-250402-0223"/>
    <x v="3"/>
    <x v="3"/>
    <x v="1"/>
    <x v="0"/>
    <s v="Chicken fried rice (500ml) with sauce"/>
    <n v="1"/>
    <n v="149"/>
    <x v="1"/>
  </r>
  <r>
    <s v="CS-250402-0230"/>
    <x v="3"/>
    <x v="3"/>
    <x v="0"/>
    <x v="0"/>
    <s v="Rice(750ml), tomato curry(250ml), vazhakkai varuval(200ml), rasam(100ml) mor (100ml), appalam, pickle"/>
    <n v="1"/>
    <n v="129"/>
    <x v="0"/>
  </r>
  <r>
    <s v="CS-250402-0233"/>
    <x v="3"/>
    <x v="3"/>
    <x v="2"/>
    <x v="0"/>
    <s v="Egg dosa (1 no.s), Plain dosa (2 pcs) with sambar (250ml) qnd chutney (100ml)"/>
    <n v="1"/>
    <n v="117"/>
    <x v="1"/>
  </r>
  <r>
    <s v="CS-250402-0241"/>
    <x v="3"/>
    <x v="3"/>
    <x v="0"/>
    <x v="0"/>
    <s v="Steamed rice(500ml), veg gravy(250ml),chicken 65(2500ml), poriyal(100ml), curd(100ml)"/>
    <n v="1"/>
    <n v="129"/>
    <x v="1"/>
  </r>
  <r>
    <s v="CS-250403-0053"/>
    <x v="3"/>
    <x v="3"/>
    <x v="0"/>
    <x v="1"/>
    <s v="Keerai kootu"/>
    <n v="2"/>
    <n v="160"/>
    <x v="0"/>
  </r>
  <r>
    <s v="CS-250403-0054"/>
    <x v="3"/>
    <x v="3"/>
    <x v="0"/>
    <x v="1"/>
    <s v="Paruppu thakkali kadayal"/>
    <n v="1"/>
    <n v="190"/>
    <x v="0"/>
  </r>
  <r>
    <m/>
    <x v="1"/>
    <x v="1"/>
    <x v="3"/>
    <x v="2"/>
    <s v="Vegetable poriyal"/>
    <n v="1"/>
    <m/>
    <x v="0"/>
  </r>
  <r>
    <m/>
    <x v="1"/>
    <x v="1"/>
    <x v="3"/>
    <x v="2"/>
    <s v="Vegetable kootu"/>
    <n v="1"/>
    <m/>
    <x v="0"/>
  </r>
  <r>
    <s v="CS-250403-0075"/>
    <x v="3"/>
    <x v="3"/>
    <x v="0"/>
    <x v="1"/>
    <s v="Prawn kurma"/>
    <n v="1"/>
    <n v="190"/>
    <x v="1"/>
  </r>
  <r>
    <s v="CS-250403-0078"/>
    <x v="3"/>
    <x v="3"/>
    <x v="0"/>
    <x v="1"/>
    <s v="Mutton thokku"/>
    <n v="1"/>
    <n v="280"/>
    <x v="1"/>
  </r>
  <r>
    <s v="CS-250403-0098"/>
    <x v="3"/>
    <x v="3"/>
    <x v="0"/>
    <x v="1"/>
    <s v="Mushroom Biryani(seeraga samba rice)"/>
    <n v="1"/>
    <n v="350"/>
    <x v="0"/>
  </r>
  <r>
    <m/>
    <x v="1"/>
    <x v="1"/>
    <x v="3"/>
    <x v="2"/>
    <s v="Lemon rice with potato thokku"/>
    <n v="1"/>
    <m/>
    <x v="0"/>
  </r>
  <r>
    <m/>
    <x v="1"/>
    <x v="1"/>
    <x v="3"/>
    <x v="2"/>
    <s v="Curd rice with potato thokku"/>
    <n v="1"/>
    <m/>
    <x v="0"/>
  </r>
  <r>
    <s v="CS-250403-0108"/>
    <x v="3"/>
    <x v="3"/>
    <x v="0"/>
    <x v="1"/>
    <s v="White rice"/>
    <n v="1"/>
    <n v="240"/>
    <x v="0"/>
  </r>
  <r>
    <m/>
    <x v="1"/>
    <x v="1"/>
    <x v="3"/>
    <x v="2"/>
    <s v="Chicken thokku"/>
    <n v="1"/>
    <m/>
    <x v="1"/>
  </r>
  <r>
    <s v="CS-250403-0118"/>
    <x v="3"/>
    <x v="3"/>
    <x v="0"/>
    <x v="1"/>
    <s v="Organic Karuppu kavuni kanji"/>
    <n v="2"/>
    <n v="280"/>
    <x v="0"/>
  </r>
  <r>
    <s v="CS-250403-0205"/>
    <x v="4"/>
    <x v="4"/>
    <x v="1"/>
    <x v="0"/>
    <s v="Idly (4 nos) with vada curry (250ml)"/>
    <n v="1"/>
    <n v="99"/>
    <x v="0"/>
  </r>
  <r>
    <s v="CS-250403-0206"/>
    <x v="4"/>
    <x v="4"/>
    <x v="2"/>
    <x v="0"/>
    <s v="Adai dosa (3 no.s) with kaara chutney (250ml)"/>
    <n v="1"/>
    <n v="99"/>
    <x v="0"/>
  </r>
  <r>
    <s v="CS-250403-0204"/>
    <x v="4"/>
    <x v="4"/>
    <x v="0"/>
    <x v="0"/>
    <s v="Rice(750ml), keerai kulambu (250ml), carrot poriyal(100ml), chowchow kootu (100ml), rasam (100ml), mor(100ml), appalam"/>
    <n v="1"/>
    <n v="129"/>
    <x v="0"/>
  </r>
  <r>
    <s v="CS-250403-0210"/>
    <x v="4"/>
    <x v="4"/>
    <x v="1"/>
    <x v="0"/>
    <s v="Appam (4 pcs) with Chicken stew (250ml)"/>
    <n v="1"/>
    <n v="129"/>
    <x v="1"/>
  </r>
  <r>
    <s v="CS-250403-0216"/>
    <x v="4"/>
    <x v="4"/>
    <x v="0"/>
    <x v="0"/>
    <s v="Rice (750ml),Keerai Kadayal(250ml), Carrot Poriyal (200ml), Rasam (100ml), Mor (100ml), Appalam, Pickle"/>
    <n v="1"/>
    <n v="129"/>
    <x v="0"/>
  </r>
  <r>
    <s v="CS-250403-0211"/>
    <x v="4"/>
    <x v="4"/>
    <x v="1"/>
    <x v="0"/>
    <s v="Idly (4 nos) with vada curry (250ml)"/>
    <n v="1"/>
    <n v="99"/>
    <x v="1"/>
  </r>
  <r>
    <s v="CS-250403-0219"/>
    <x v="4"/>
    <x v="4"/>
    <x v="0"/>
    <x v="0"/>
    <s v="Steamed rice (750ml) with Chicken curry (250ml), Egg omeltte (1 pcs), Rasam (100ml), Curd (100ml)"/>
    <n v="1"/>
    <n v="129"/>
    <x v="1"/>
  </r>
  <r>
    <s v="CS-250403-0218"/>
    <x v="4"/>
    <x v="4"/>
    <x v="2"/>
    <x v="0"/>
    <s v="Adai dosa (3 no.s) with kaara chutney (250ml)"/>
    <n v="1"/>
    <n v="99"/>
    <x v="0"/>
  </r>
  <r>
    <s v="CS-250403-0226"/>
    <x v="4"/>
    <x v="4"/>
    <x v="2"/>
    <x v="0"/>
    <s v="Kara paniyara (10 pcs) with kara chutney (100ml)"/>
    <n v="2"/>
    <n v="198"/>
    <x v="0"/>
  </r>
  <r>
    <s v="CS-250403-0232"/>
    <x v="4"/>
    <x v="4"/>
    <x v="0"/>
    <x v="0"/>
    <s v="Steamed rice (500ml), Rasam (250ml), Chicken uppu kari(100ml)"/>
    <n v="1"/>
    <n v="129"/>
    <x v="1"/>
  </r>
  <r>
    <s v="CS-250403-0235"/>
    <x v="4"/>
    <x v="4"/>
    <x v="0"/>
    <x v="0"/>
    <s v="Steamed rice (500ml), Rasam (250ml), Chicken uppu kari(100ml)"/>
    <n v="2"/>
    <n v="258"/>
    <x v="1"/>
  </r>
  <r>
    <s v="CS-250404-0003"/>
    <x v="4"/>
    <x v="4"/>
    <x v="0"/>
    <x v="1"/>
    <s v="Keerai paruppu kadayal"/>
    <n v="1"/>
    <n v="180"/>
    <x v="0"/>
  </r>
  <r>
    <m/>
    <x v="1"/>
    <x v="1"/>
    <x v="3"/>
    <x v="2"/>
    <s v="Egg fry"/>
    <n v="1"/>
    <m/>
    <x v="1"/>
  </r>
  <r>
    <s v="CS-250404-0018"/>
    <x v="4"/>
    <x v="4"/>
    <x v="0"/>
    <x v="1"/>
    <s v="Organic Karuppu kavuni kanji"/>
    <n v="2"/>
    <n v="280"/>
    <x v="0"/>
  </r>
  <r>
    <s v="CS-250404-0020"/>
    <x v="4"/>
    <x v="4"/>
    <x v="0"/>
    <x v="1"/>
    <s v="Egg kurma"/>
    <n v="1"/>
    <n v="240"/>
    <x v="1"/>
  </r>
  <r>
    <m/>
    <x v="1"/>
    <x v="1"/>
    <x v="3"/>
    <x v="2"/>
    <s v="White veg pulav(basmati rice)"/>
    <n v="1"/>
    <m/>
    <x v="0"/>
  </r>
  <r>
    <s v="CS-250404-0047"/>
    <x v="4"/>
    <x v="4"/>
    <x v="0"/>
    <x v="1"/>
    <s v="Chicken family combo"/>
    <n v="1"/>
    <n v="949"/>
    <x v="1"/>
  </r>
  <r>
    <m/>
    <x v="1"/>
    <x v="1"/>
    <x v="3"/>
    <x v="2"/>
    <s v="Double Omelette"/>
    <n v="1"/>
    <m/>
    <x v="1"/>
  </r>
  <r>
    <m/>
    <x v="1"/>
    <x v="1"/>
    <x v="3"/>
    <x v="2"/>
    <s v="Chicken Biryani"/>
    <n v="1"/>
    <m/>
    <x v="1"/>
  </r>
  <r>
    <s v="CS-250404-0053"/>
    <x v="4"/>
    <x v="4"/>
    <x v="0"/>
    <x v="1"/>
    <s v="Potato thokku"/>
    <n v="2"/>
    <n v="260"/>
    <x v="0"/>
  </r>
  <r>
    <m/>
    <x v="1"/>
    <x v="1"/>
    <x v="3"/>
    <x v="2"/>
    <s v="Paruppu thakkali kadayal"/>
    <n v="2"/>
    <m/>
    <x v="0"/>
  </r>
  <r>
    <s v="CS-250404-0055"/>
    <x v="4"/>
    <x v="4"/>
    <x v="0"/>
    <x v="1"/>
    <s v="Mushroom Biryani(seeraga samba rice)"/>
    <n v="1"/>
    <n v="190"/>
    <x v="0"/>
  </r>
  <r>
    <s v="CS-250404-0068"/>
    <x v="4"/>
    <x v="4"/>
    <x v="0"/>
    <x v="1"/>
    <s v="Keerai paruppu kadayal"/>
    <n v="1"/>
    <n v="295"/>
    <x v="0"/>
  </r>
  <r>
    <m/>
    <x v="1"/>
    <x v="1"/>
    <x v="3"/>
    <x v="2"/>
    <s v="Vegetable poriyal"/>
    <n v="1"/>
    <m/>
    <x v="0"/>
  </r>
  <r>
    <m/>
    <x v="1"/>
    <x v="1"/>
    <x v="3"/>
    <x v="2"/>
    <s v="Rice with rasam and egg fry"/>
    <n v="1"/>
    <m/>
    <x v="1"/>
  </r>
  <r>
    <s v="CS-250404-00215"/>
    <x v="5"/>
    <x v="5"/>
    <x v="0"/>
    <x v="0"/>
    <s v="Rice(750ml), tomato curry(250ml), vazhakkai varuval(200ml), rasam(100ml) mor (100ml), appalam, pickle"/>
    <n v="1"/>
    <n v="129"/>
    <x v="0"/>
  </r>
  <r>
    <s v="CS-250404-0223"/>
    <x v="5"/>
    <x v="5"/>
    <x v="0"/>
    <x v="0"/>
    <s v="Steamed rice (750ml), Egg gravy (250ml) with eggs (2 pcs), Rasam (100ml), Appalam"/>
    <n v="1"/>
    <n v="179"/>
    <x v="1"/>
  </r>
  <r>
    <s v="CS-250404-0224"/>
    <x v="5"/>
    <x v="5"/>
    <x v="1"/>
    <x v="0"/>
    <s v="Chicken kheema dosa (1 pcs), Kal dosa (1 pcs) with Chutney (250ml)"/>
    <n v="1"/>
    <n v="149"/>
    <x v="1"/>
  </r>
  <r>
    <s v="CS-250404-0225"/>
    <x v="5"/>
    <x v="5"/>
    <x v="2"/>
    <x v="0"/>
    <s v="Ven pongal(500ml) with sambar (250ml) and coconut chutney (100ml)"/>
    <n v="2"/>
    <n v="158"/>
    <x v="0"/>
  </r>
  <r>
    <s v="CS-250404-0226"/>
    <x v="5"/>
    <x v="5"/>
    <x v="0"/>
    <x v="0"/>
    <s v="Steamed rice (750ml), Egg gravy (250ml) with eggs (2 pcs), Rasam (100ml), Appalam"/>
    <n v="1"/>
    <n v="179"/>
    <x v="1"/>
  </r>
  <r>
    <s v="CS-250404-0229"/>
    <x v="5"/>
    <x v="5"/>
    <x v="2"/>
    <x v="0"/>
    <s v="Ven pongal(500ml) with sambar (250ml) and coconut chutney (100ml)"/>
    <n v="1"/>
    <n v="79"/>
    <x v="0"/>
  </r>
  <r>
    <s v="CS-250404-0233"/>
    <x v="5"/>
    <x v="5"/>
    <x v="0"/>
    <x v="0"/>
    <s v="Rice(750ml), payaru kulambu(250ml), pudalangai kootu (100ml), rasam(100ml), mor(100ml), appalam,picle"/>
    <n v="1"/>
    <n v="129"/>
    <x v="0"/>
  </r>
  <r>
    <s v="CS-250405-0007"/>
    <x v="5"/>
    <x v="5"/>
    <x v="0"/>
    <x v="1"/>
    <s v="Fish meals"/>
    <n v="1"/>
    <n v="190"/>
    <x v="1"/>
  </r>
  <r>
    <s v="CS-250405-0088"/>
    <x v="5"/>
    <x v="5"/>
    <x v="0"/>
    <x v="1"/>
    <s v="Mushroom Biryani(seeraga samba rice)"/>
    <n v="1"/>
    <n v="190"/>
    <x v="0"/>
  </r>
  <r>
    <s v="CS-250405-0113"/>
    <x v="5"/>
    <x v="5"/>
    <x v="0"/>
    <x v="1"/>
    <s v="Vegetable poriyal"/>
    <n v="1"/>
    <n v="225"/>
    <x v="0"/>
  </r>
  <r>
    <m/>
    <x v="1"/>
    <x v="1"/>
    <x v="3"/>
    <x v="2"/>
    <s v="Mushroom Biryani(seeraga samba rice)"/>
    <n v="1"/>
    <m/>
    <x v="0"/>
  </r>
  <r>
    <s v="CS-250405-0127"/>
    <x v="5"/>
    <x v="5"/>
    <x v="0"/>
    <x v="1"/>
    <s v="Prawn kurma"/>
    <n v="1"/>
    <n v="590"/>
    <x v="1"/>
  </r>
  <r>
    <m/>
    <x v="1"/>
    <x v="1"/>
    <x v="3"/>
    <x v="2"/>
    <s v="Egg podimas"/>
    <n v="1"/>
    <m/>
    <x v="1"/>
  </r>
  <r>
    <m/>
    <x v="1"/>
    <x v="1"/>
    <x v="3"/>
    <x v="2"/>
    <s v="Chicken thokku"/>
    <n v="2"/>
    <m/>
    <x v="1"/>
  </r>
  <r>
    <s v="CS-250405-0141"/>
    <x v="5"/>
    <x v="5"/>
    <x v="0"/>
    <x v="1"/>
    <s v="Prawn kurma"/>
    <n v="1"/>
    <n v="270"/>
    <x v="1"/>
  </r>
  <r>
    <m/>
    <x v="1"/>
    <x v="1"/>
    <x v="3"/>
    <x v="2"/>
    <s v="White rice"/>
    <n v="1"/>
    <m/>
    <x v="0"/>
  </r>
  <r>
    <s v="CS-250405-0170"/>
    <x v="5"/>
    <x v="5"/>
    <x v="0"/>
    <x v="1"/>
    <s v="Tamarind rice with egg fry"/>
    <n v="1"/>
    <n v="450"/>
    <x v="1"/>
  </r>
  <r>
    <m/>
    <x v="1"/>
    <x v="1"/>
    <x v="3"/>
    <x v="2"/>
    <s v="Ayala fish fry"/>
    <n v="1"/>
    <m/>
    <x v="1"/>
  </r>
  <r>
    <m/>
    <x v="1"/>
    <x v="1"/>
    <x v="3"/>
    <x v="2"/>
    <s v="Fish meals"/>
    <n v="1"/>
    <m/>
    <x v="1"/>
  </r>
  <r>
    <s v="CS-250405-0186"/>
    <x v="5"/>
    <x v="5"/>
    <x v="0"/>
    <x v="1"/>
    <s v="Vegetable poriyal"/>
    <n v="1"/>
    <n v="260"/>
    <x v="0"/>
  </r>
  <r>
    <m/>
    <x v="1"/>
    <x v="1"/>
    <x v="3"/>
    <x v="2"/>
    <s v="Rasam"/>
    <n v="1"/>
    <m/>
    <x v="0"/>
  </r>
  <r>
    <m/>
    <x v="1"/>
    <x v="1"/>
    <x v="3"/>
    <x v="2"/>
    <s v="Meen kuzhambu"/>
    <n v="1"/>
    <m/>
    <x v="1"/>
  </r>
  <r>
    <s v="CS-250405-0195"/>
    <x v="5"/>
    <x v="5"/>
    <x v="0"/>
    <x v="1"/>
    <s v="Rice with chicken gravy"/>
    <n v="1"/>
    <n v="170"/>
    <x v="1"/>
  </r>
  <r>
    <s v="CS-250405-0198"/>
    <x v="5"/>
    <x v="5"/>
    <x v="0"/>
    <x v="1"/>
    <s v="Sambar"/>
    <n v="1"/>
    <n v="300"/>
    <x v="0"/>
  </r>
  <r>
    <m/>
    <x v="1"/>
    <x v="1"/>
    <x v="3"/>
    <x v="2"/>
    <s v="Chicken thokku"/>
    <n v="1"/>
    <m/>
    <x v="1"/>
  </r>
  <r>
    <m/>
    <x v="1"/>
    <x v="1"/>
    <x v="3"/>
    <x v="2"/>
    <s v="Vatha kulambu"/>
    <n v="1"/>
    <m/>
    <x v="0"/>
  </r>
  <r>
    <s v="CS-250405-0231"/>
    <x v="5"/>
    <x v="5"/>
    <x v="0"/>
    <x v="1"/>
    <s v="Rice with chicken kulambu"/>
    <n v="1"/>
    <n v="170"/>
    <x v="1"/>
  </r>
  <r>
    <s v="CS-250405-0255"/>
    <x v="6"/>
    <x v="6"/>
    <x v="1"/>
    <x v="0"/>
    <s v="Chapathi (4 pcs) with Chicken curry (250ml)"/>
    <n v="1"/>
    <n v="129"/>
    <x v="1"/>
  </r>
  <r>
    <s v="CS-250405-0259"/>
    <x v="6"/>
    <x v="6"/>
    <x v="0"/>
    <x v="0"/>
    <s v="Chicken Biryani (750ml) with Boiled egg (1 nos), Chicken 65 (100ml), Raita (100ml)"/>
    <n v="1"/>
    <n v="149"/>
    <x v="1"/>
  </r>
  <r>
    <s v="CS-250405-0266"/>
    <x v="6"/>
    <x v="6"/>
    <x v="0"/>
    <x v="0"/>
    <s v="Tomato rice(500ml), chicken 65 (100ml), raita (100ml)"/>
    <n v="1"/>
    <n v="129"/>
    <x v="1"/>
  </r>
  <r>
    <s v="CS-250405-0267"/>
    <x v="6"/>
    <x v="6"/>
    <x v="2"/>
    <x v="0"/>
    <s v="Appam (3 nos) with coconut milk (250ml)"/>
    <n v="2"/>
    <n v="198"/>
    <x v="1"/>
  </r>
  <r>
    <s v="CS-250405-0273"/>
    <x v="6"/>
    <x v="6"/>
    <x v="2"/>
    <x v="0"/>
    <s v="Appam (3 pcs) with Chicken gravy (250ml)"/>
    <n v="1"/>
    <n v="117"/>
    <x v="1"/>
  </r>
  <r>
    <s v="CS-250405-0274"/>
    <x v="6"/>
    <x v="6"/>
    <x v="1"/>
    <x v="0"/>
    <s v="Chapathi (4 pcs) with Chicken curry (250ml)"/>
    <n v="1"/>
    <n v="129"/>
    <x v="1"/>
  </r>
  <r>
    <s v="CS-250406-0045"/>
    <x v="6"/>
    <x v="6"/>
    <x v="0"/>
    <x v="1"/>
    <s v="Organic Karuppu kavuni kanji"/>
    <n v="1"/>
    <n v="140"/>
    <x v="0"/>
  </r>
  <r>
    <s v="CS-250406-0048"/>
    <x v="6"/>
    <x v="6"/>
    <x v="0"/>
    <x v="1"/>
    <s v="Pepper prawn thokku"/>
    <n v="2"/>
    <n v="540"/>
    <x v="1"/>
  </r>
  <r>
    <m/>
    <x v="1"/>
    <x v="1"/>
    <x v="3"/>
    <x v="2"/>
    <s v="nethili karuvadu thokku"/>
    <n v="1"/>
    <m/>
    <x v="1"/>
  </r>
  <r>
    <s v="CS-250406-0084"/>
    <x v="6"/>
    <x v="6"/>
    <x v="0"/>
    <x v="1"/>
    <s v="Side dish combo"/>
    <n v="1"/>
    <n v="240"/>
    <x v="1"/>
  </r>
  <r>
    <s v="CS-250406-0087"/>
    <x v="6"/>
    <x v="6"/>
    <x v="0"/>
    <x v="1"/>
    <s v="Sambar"/>
    <n v="1"/>
    <n v="190"/>
    <x v="0"/>
  </r>
  <r>
    <m/>
    <x v="1"/>
    <x v="1"/>
    <x v="3"/>
    <x v="2"/>
    <s v="Paruppu thakkali kadayal"/>
    <n v="1"/>
    <m/>
    <x v="0"/>
  </r>
  <r>
    <m/>
    <x v="1"/>
    <x v="1"/>
    <x v="3"/>
    <x v="2"/>
    <s v="Vegetable kootu"/>
    <n v="1"/>
    <m/>
    <x v="0"/>
  </r>
  <r>
    <s v="CS-250406-0115"/>
    <x v="6"/>
    <x v="6"/>
    <x v="0"/>
    <x v="1"/>
    <s v="Rasam"/>
    <n v="1"/>
    <n v="340"/>
    <x v="0"/>
  </r>
  <r>
    <m/>
    <x v="1"/>
    <x v="1"/>
    <x v="3"/>
    <x v="2"/>
    <s v="Sambar"/>
    <n v="1"/>
    <m/>
    <x v="0"/>
  </r>
  <r>
    <m/>
    <x v="1"/>
    <x v="1"/>
    <x v="3"/>
    <x v="2"/>
    <s v="Vegetable kootu"/>
    <n v="1"/>
    <m/>
    <x v="0"/>
  </r>
  <r>
    <m/>
    <x v="1"/>
    <x v="1"/>
    <x v="3"/>
    <x v="2"/>
    <s v="Potato thokku"/>
    <n v="1"/>
    <m/>
    <x v="0"/>
  </r>
  <r>
    <m/>
    <x v="1"/>
    <x v="1"/>
    <x v="3"/>
    <x v="2"/>
    <s v="Vatha kulambu"/>
    <n v="1"/>
    <m/>
    <x v="0"/>
  </r>
  <r>
    <s v="CS-250406-0123"/>
    <x v="6"/>
    <x v="6"/>
    <x v="0"/>
    <x v="1"/>
    <s v="sambar"/>
    <n v="1"/>
    <n v="340"/>
    <x v="0"/>
  </r>
  <r>
    <m/>
    <x v="1"/>
    <x v="1"/>
    <x v="3"/>
    <x v="2"/>
    <s v="Vegetable kootu"/>
    <n v="1"/>
    <m/>
    <x v="0"/>
  </r>
  <r>
    <m/>
    <x v="1"/>
    <x v="1"/>
    <x v="3"/>
    <x v="2"/>
    <s v="Chicken thokku"/>
    <n v="1"/>
    <m/>
    <x v="1"/>
  </r>
  <r>
    <s v="CS-250406-0141"/>
    <x v="6"/>
    <x v="6"/>
    <x v="0"/>
    <x v="1"/>
    <s v="Rice with chicken gravy"/>
    <n v="1"/>
    <n v="350"/>
    <x v="1"/>
  </r>
  <r>
    <m/>
    <x v="1"/>
    <x v="1"/>
    <x v="3"/>
    <x v="2"/>
    <s v="Pepper prawn thokku"/>
    <n v="1"/>
    <m/>
    <x v="1"/>
  </r>
  <r>
    <s v="CS-250406-0149"/>
    <x v="6"/>
    <x v="6"/>
    <x v="0"/>
    <x v="1"/>
    <s v="Vatha kulambu"/>
    <n v="1"/>
    <n v="345"/>
    <x v="0"/>
  </r>
  <r>
    <m/>
    <x v="1"/>
    <x v="1"/>
    <x v="3"/>
    <x v="2"/>
    <s v="Keerai kootu"/>
    <n v="1"/>
    <m/>
    <x v="0"/>
  </r>
  <r>
    <m/>
    <x v="1"/>
    <x v="1"/>
    <x v="3"/>
    <x v="2"/>
    <s v="Paruppu thakkali kadayal"/>
    <n v="1"/>
    <m/>
    <x v="0"/>
  </r>
  <r>
    <m/>
    <x v="1"/>
    <x v="1"/>
    <x v="3"/>
    <x v="2"/>
    <s v="Rasam"/>
    <n v="1"/>
    <m/>
    <x v="0"/>
  </r>
  <r>
    <m/>
    <x v="1"/>
    <x v="1"/>
    <x v="3"/>
    <x v="2"/>
    <s v="Vegetable kootu"/>
    <n v="1"/>
    <m/>
    <x v="0"/>
  </r>
  <r>
    <s v="CS-250406-0157"/>
    <x v="6"/>
    <x v="6"/>
    <x v="0"/>
    <x v="1"/>
    <s v="Chicken Biryani"/>
    <n v="1"/>
    <n v="190"/>
    <x v="1"/>
  </r>
  <r>
    <s v="CS-250406-0206"/>
    <x v="6"/>
    <x v="6"/>
    <x v="0"/>
    <x v="1"/>
    <s v="Chicken thokku"/>
    <n v="1"/>
    <n v="670"/>
    <x v="1"/>
  </r>
  <r>
    <m/>
    <x v="1"/>
    <x v="1"/>
    <x v="3"/>
    <x v="2"/>
    <s v="Pepper prawn thokku"/>
    <n v="1"/>
    <m/>
    <x v="1"/>
  </r>
  <r>
    <m/>
    <x v="1"/>
    <x v="1"/>
    <x v="3"/>
    <x v="2"/>
    <s v="Mutton kuzhambu"/>
    <n v="1"/>
    <m/>
    <x v="1"/>
  </r>
  <r>
    <s v="CS-250406-0212"/>
    <x v="6"/>
    <x v="6"/>
    <x v="0"/>
    <x v="1"/>
    <s v="Rice with chicken gravy"/>
    <n v="1"/>
    <n v="340"/>
    <x v="1"/>
  </r>
  <r>
    <m/>
    <x v="1"/>
    <x v="1"/>
    <x v="3"/>
    <x v="2"/>
    <s v="Rice with prawn thokku"/>
    <n v="1"/>
    <m/>
    <x v="1"/>
  </r>
  <r>
    <s v="CS-250406-0215"/>
    <x v="6"/>
    <x v="6"/>
    <x v="0"/>
    <x v="1"/>
    <s v="White rice"/>
    <n v="1"/>
    <n v="385"/>
    <x v="0"/>
  </r>
  <r>
    <m/>
    <x v="1"/>
    <x v="1"/>
    <x v="3"/>
    <x v="2"/>
    <s v="Side dish combo"/>
    <n v="1"/>
    <m/>
    <x v="1"/>
  </r>
  <r>
    <m/>
    <x v="1"/>
    <x v="1"/>
    <x v="3"/>
    <x v="2"/>
    <s v="Sambar"/>
    <n v="1"/>
    <m/>
    <x v="0"/>
  </r>
  <r>
    <s v="CS-250406-0224"/>
    <x v="6"/>
    <x v="6"/>
    <x v="0"/>
    <x v="1"/>
    <s v="Mutton kuzhambu"/>
    <n v="1"/>
    <n v="635"/>
    <x v="1"/>
  </r>
  <r>
    <m/>
    <x v="1"/>
    <x v="1"/>
    <x v="3"/>
    <x v="2"/>
    <s v="Rasam"/>
    <n v="1"/>
    <m/>
    <x v="0"/>
  </r>
  <r>
    <m/>
    <x v="1"/>
    <x v="1"/>
    <x v="3"/>
    <x v="2"/>
    <s v="Side dish combo"/>
    <n v="1"/>
    <m/>
    <x v="1"/>
  </r>
  <r>
    <s v="CS-250406-0242"/>
    <x v="6"/>
    <x v="6"/>
    <x v="0"/>
    <x v="1"/>
    <s v="Pepper chicken"/>
    <n v="1"/>
    <n v="180"/>
    <x v="1"/>
  </r>
  <r>
    <s v="CS-250406-0343"/>
    <x v="7"/>
    <x v="7"/>
    <x v="0"/>
    <x v="0"/>
    <s v="Rice(750ml), vatha kulambu(250ml), beetroot poriyal(100ml), sorakkai kootu(100ml), rasam (100ml), mor (100ml), appalam"/>
    <n v="1"/>
    <n v="129"/>
    <x v="0"/>
  </r>
  <r>
    <s v="CS-250406-0344"/>
    <x v="7"/>
    <x v="7"/>
    <x v="1"/>
    <x v="0"/>
    <s v="Samba wheat kichadi(500l) with coconut chutney (100ml)"/>
    <n v="1"/>
    <n v="79"/>
    <x v="0"/>
  </r>
  <r>
    <s v="CS-250406-0347"/>
    <x v="7"/>
    <x v="7"/>
    <x v="0"/>
    <x v="0"/>
    <s v="Idly (4 nos) with Sambar (250 ml) and green chutney (100ml)"/>
    <n v="2"/>
    <n v="158"/>
    <x v="0"/>
  </r>
  <r>
    <s v="CS-250406-0348"/>
    <x v="7"/>
    <x v="7"/>
    <x v="0"/>
    <x v="0"/>
    <s v="Mini ghee podi idly (500ml) with chutney (250ml)"/>
    <n v="1"/>
    <n v="99"/>
    <x v="0"/>
  </r>
  <r>
    <s v="CS-250406-0352"/>
    <x v="7"/>
    <x v="7"/>
    <x v="0"/>
    <x v="0"/>
    <s v="Samba wheat kichadi(500l) with coconut chutney (100ml)"/>
    <n v="1"/>
    <n v="79"/>
    <x v="0"/>
  </r>
  <r>
    <s v="CS-250406-0363"/>
    <x v="7"/>
    <x v="7"/>
    <x v="0"/>
    <x v="0"/>
    <s v="Dosa (3no.s) with pepper chicken curry(250ml)"/>
    <n v="1"/>
    <n v="117"/>
    <x v="1"/>
  </r>
  <r>
    <s v="CS-250406-0368"/>
    <x v="7"/>
    <x v="7"/>
    <x v="0"/>
    <x v="0"/>
    <s v="Mini ghee podi idly (500ml) with chutney (250ml)"/>
    <n v="1"/>
    <n v="99"/>
    <x v="0"/>
  </r>
  <r>
    <s v="CS-250406-0369"/>
    <x v="7"/>
    <x v="7"/>
    <x v="0"/>
    <x v="0"/>
    <s v="Ghee rice (500ml) with 100ml gravy"/>
    <n v="1"/>
    <n v="117"/>
    <x v="0"/>
  </r>
  <r>
    <s v="CS-250406-0375"/>
    <x v="7"/>
    <x v="7"/>
    <x v="0"/>
    <x v="0"/>
    <s v="Ghee rice (500ml) with 100ml gravy"/>
    <n v="1"/>
    <n v="117"/>
    <x v="0"/>
  </r>
  <r>
    <s v="CS-250406-0355"/>
    <x v="7"/>
    <x v="7"/>
    <x v="0"/>
    <x v="0"/>
    <s v="Lemon rice (500ml) with poriyal(100ml)"/>
    <n v="2"/>
    <n v="198"/>
    <x v="0"/>
  </r>
  <r>
    <s v="CS-250407-0046"/>
    <x v="7"/>
    <x v="7"/>
    <x v="0"/>
    <x v="1"/>
    <s v="Chicken Biryani"/>
    <n v="2"/>
    <n v="680"/>
    <x v="1"/>
  </r>
  <r>
    <m/>
    <x v="1"/>
    <x v="1"/>
    <x v="3"/>
    <x v="2"/>
    <s v="Chicken thokku"/>
    <n v="2"/>
    <m/>
    <x v="1"/>
  </r>
  <r>
    <m/>
    <x v="1"/>
    <x v="1"/>
    <x v="3"/>
    <x v="2"/>
    <s v="Moor kuzhambu"/>
    <n v="1"/>
    <m/>
    <x v="0"/>
  </r>
  <r>
    <m/>
    <x v="1"/>
    <x v="1"/>
    <x v="3"/>
    <x v="2"/>
    <s v="Vegetable poriyal"/>
    <n v="1"/>
    <m/>
    <x v="0"/>
  </r>
  <r>
    <s v="CS-250407-0074"/>
    <x v="7"/>
    <x v="7"/>
    <x v="0"/>
    <x v="1"/>
    <s v="Rice with prawn thokku"/>
    <n v="1"/>
    <n v="340"/>
    <x v="1"/>
  </r>
  <r>
    <m/>
    <x v="1"/>
    <x v="1"/>
    <x v="3"/>
    <x v="2"/>
    <s v="Rice with chicken kulambu"/>
    <n v="1"/>
    <m/>
    <x v="1"/>
  </r>
  <r>
    <s v="CS-250407-0109"/>
    <x v="7"/>
    <x v="7"/>
    <x v="0"/>
    <x v="1"/>
    <s v="Egg fry"/>
    <n v="2"/>
    <n v="220"/>
    <x v="1"/>
  </r>
  <r>
    <m/>
    <x v="1"/>
    <x v="1"/>
    <x v="3"/>
    <x v="2"/>
    <s v="Vepampoo rasam"/>
    <n v="1"/>
    <m/>
    <x v="0"/>
  </r>
  <r>
    <s v="CS-250407-0129"/>
    <x v="7"/>
    <x v="7"/>
    <x v="0"/>
    <x v="1"/>
    <s v="Rice with chicken gravy"/>
    <n v="1"/>
    <n v="310"/>
    <x v="1"/>
  </r>
  <r>
    <m/>
    <x v="1"/>
    <x v="1"/>
    <x v="3"/>
    <x v="2"/>
    <s v="Ayala fish fry"/>
    <n v="1"/>
    <m/>
    <x v="1"/>
  </r>
  <r>
    <s v="CS-250407-0147"/>
    <x v="7"/>
    <x v="7"/>
    <x v="0"/>
    <x v="1"/>
    <s v="Paruppu payasam"/>
    <n v="2"/>
    <n v="325"/>
    <x v="0"/>
  </r>
  <r>
    <m/>
    <x v="1"/>
    <x v="1"/>
    <x v="3"/>
    <x v="2"/>
    <s v="Rasam"/>
    <n v="1"/>
    <m/>
    <x v="0"/>
  </r>
  <r>
    <s v="CS-250407-0158"/>
    <x v="7"/>
    <x v="7"/>
    <x v="0"/>
    <x v="1"/>
    <s v="Meen kuzhambu"/>
    <n v="1"/>
    <n v="705"/>
    <x v="1"/>
  </r>
  <r>
    <m/>
    <x v="1"/>
    <x v="1"/>
    <x v="3"/>
    <x v="2"/>
    <s v="Chicken Biryani"/>
    <n v="2"/>
    <m/>
    <x v="1"/>
  </r>
  <r>
    <m/>
    <x v="1"/>
    <x v="1"/>
    <x v="3"/>
    <x v="2"/>
    <s v="Rasam"/>
    <n v="1"/>
    <m/>
    <x v="0"/>
  </r>
  <r>
    <m/>
    <x v="1"/>
    <x v="1"/>
    <x v="3"/>
    <x v="2"/>
    <s v="Paruppu payasam"/>
    <n v="1"/>
    <m/>
    <x v="0"/>
  </r>
  <r>
    <s v="CS-250407-0220"/>
    <x v="8"/>
    <x v="0"/>
    <x v="0"/>
    <x v="0"/>
    <s v="Steamed rice (500ml), Dhal (250ml), Chicken 65 (100ml), Boiled egg (1 nos), Rasam (100ml)"/>
    <n v="1"/>
    <n v="129"/>
    <x v="1"/>
  </r>
  <r>
    <s v="CS-250407-0233"/>
    <x v="8"/>
    <x v="0"/>
    <x v="0"/>
    <x v="0"/>
    <s v="Steamed rice (500ml), Dhal (250ml), Chicken 65 (100ml), Boiled egg (1 nos), Rasam (100ml)"/>
    <n v="1"/>
    <n v="129"/>
    <x v="1"/>
  </r>
  <r>
    <s v="CS-250407-0227"/>
    <x v="8"/>
    <x v="0"/>
    <x v="0"/>
    <x v="0"/>
    <s v="Steamed rice (500ml), Dhal (250ml), Chicken 65 (100ml), Boiled egg (1 nos), Rasam (100ml)"/>
    <n v="1"/>
    <n v="129"/>
    <x v="1"/>
  </r>
  <r>
    <s v="CS-250407-0237"/>
    <x v="8"/>
    <x v="0"/>
    <x v="0"/>
    <x v="0"/>
    <s v="Sambar rice (500ml) with poriyal (100ml)"/>
    <n v="2"/>
    <n v="198"/>
    <x v="0"/>
  </r>
  <r>
    <s v="CS-250407-0231"/>
    <x v="8"/>
    <x v="0"/>
    <x v="1"/>
    <x v="0"/>
    <s v="Egg kothu chappathi(500ml) with gravy (100ml)"/>
    <n v="1"/>
    <n v="117"/>
    <x v="1"/>
  </r>
  <r>
    <s v="CS-250407-0241"/>
    <x v="8"/>
    <x v="0"/>
    <x v="2"/>
    <x v="0"/>
    <s v="Chapathi (4 pcs) with Mushroom gravy (250ml)"/>
    <n v="1"/>
    <n v="99"/>
    <x v="0"/>
  </r>
  <r>
    <s v="CS-250407-0257"/>
    <x v="8"/>
    <x v="0"/>
    <x v="0"/>
    <x v="0"/>
    <s v="Rice(750ml),sambar(250ml),vendakkai fry(100ml), keerai poriyal(100ml), rsam(100ml), mor(100ml),appalam"/>
    <n v="1"/>
    <n v="129"/>
    <x v="0"/>
  </r>
  <r>
    <s v="CS-250407-0261"/>
    <x v="8"/>
    <x v="0"/>
    <x v="1"/>
    <x v="0"/>
    <s v="Ragi idiyapam(4no.s) with white kurma(250ml)"/>
    <n v="1"/>
    <n v="99"/>
    <x v="0"/>
  </r>
  <r>
    <s v="CS-250407-0247"/>
    <x v="8"/>
    <x v="0"/>
    <x v="1"/>
    <x v="0"/>
    <s v="Ragi idiyapam(4no.s) with white kurma(250ml)"/>
    <n v="1"/>
    <n v="99"/>
    <x v="0"/>
  </r>
  <r>
    <s v="CS-250408-0025"/>
    <x v="8"/>
    <x v="0"/>
    <x v="0"/>
    <x v="1"/>
    <s v="Vatha kulambu"/>
    <n v="1"/>
    <n v="280"/>
    <x v="0"/>
  </r>
  <r>
    <m/>
    <x v="1"/>
    <x v="1"/>
    <x v="3"/>
    <x v="2"/>
    <s v="Mixed vegetable sambar"/>
    <n v="1"/>
    <m/>
    <x v="0"/>
  </r>
  <r>
    <m/>
    <x v="1"/>
    <x v="1"/>
    <x v="3"/>
    <x v="2"/>
    <s v="Vegetable poriyal"/>
    <n v="1"/>
    <m/>
    <x v="0"/>
  </r>
  <r>
    <s v="CS-250408-0047"/>
    <x v="8"/>
    <x v="0"/>
    <x v="0"/>
    <x v="1"/>
    <s v="Mutton thokku"/>
    <n v="1"/>
    <n v="430"/>
    <x v="1"/>
  </r>
  <r>
    <m/>
    <x v="1"/>
    <x v="1"/>
    <x v="3"/>
    <x v="2"/>
    <s v="Chicken 65"/>
    <n v="1"/>
    <m/>
    <x v="1"/>
  </r>
  <r>
    <s v="CS-250408-0051"/>
    <x v="8"/>
    <x v="0"/>
    <x v="0"/>
    <x v="1"/>
    <s v="Keerai paruppu kadayal"/>
    <n v="1"/>
    <n v="260"/>
    <x v="0"/>
  </r>
  <r>
    <m/>
    <x v="1"/>
    <x v="1"/>
    <x v="3"/>
    <x v="2"/>
    <s v="Vendakkai poriyal"/>
    <n v="2"/>
    <m/>
    <x v="0"/>
  </r>
  <r>
    <s v="CS-250408-0053"/>
    <x v="8"/>
    <x v="0"/>
    <x v="0"/>
    <x v="1"/>
    <s v="Keerai paruppu kadayal"/>
    <n v="1"/>
    <n v="120"/>
    <x v="0"/>
  </r>
  <r>
    <s v="CS-250408-0069"/>
    <x v="8"/>
    <x v="0"/>
    <x v="0"/>
    <x v="1"/>
    <s v="Keerai kootu"/>
    <n v="1"/>
    <n v="240"/>
    <x v="0"/>
  </r>
  <r>
    <m/>
    <x v="1"/>
    <x v="1"/>
    <x v="3"/>
    <x v="2"/>
    <s v="Paruppu thakkali kadayal"/>
    <n v="1"/>
    <m/>
    <x v="0"/>
  </r>
  <r>
    <m/>
    <x v="1"/>
    <x v="1"/>
    <x v="3"/>
    <x v="2"/>
    <s v="Vepampoo rasam"/>
    <n v="1"/>
    <m/>
    <x v="0"/>
  </r>
  <r>
    <s v="CS-250408-0087"/>
    <x v="8"/>
    <x v="0"/>
    <x v="0"/>
    <x v="1"/>
    <s v="Curd rice with potato thokku"/>
    <n v="1"/>
    <n v="260"/>
    <x v="0"/>
  </r>
  <r>
    <m/>
    <x v="1"/>
    <x v="1"/>
    <x v="3"/>
    <x v="2"/>
    <s v="Pepper chicken"/>
    <n v="1"/>
    <m/>
    <x v="1"/>
  </r>
  <r>
    <s v="CS-250408-0092"/>
    <x v="8"/>
    <x v="0"/>
    <x v="0"/>
    <x v="1"/>
    <s v="Mutton kuzhambu (with bones)"/>
    <n v="1"/>
    <n v="330"/>
    <x v="1"/>
  </r>
  <r>
    <s v="CS-250408-0133"/>
    <x v="8"/>
    <x v="0"/>
    <x v="0"/>
    <x v="1"/>
    <s v="Crab kurma"/>
    <n v="1"/>
    <n v="515"/>
    <x v="1"/>
  </r>
  <r>
    <m/>
    <x v="1"/>
    <x v="1"/>
    <x v="3"/>
    <x v="2"/>
    <s v="White veg pulav(basmati rice)"/>
    <n v="1"/>
    <m/>
    <x v="0"/>
  </r>
  <r>
    <m/>
    <x v="1"/>
    <x v="1"/>
    <x v="3"/>
    <x v="2"/>
    <s v="Keerai paruppu kadayal"/>
    <n v="1"/>
    <m/>
    <x v="0"/>
  </r>
  <r>
    <m/>
    <x v="1"/>
    <x v="1"/>
    <x v="3"/>
    <x v="2"/>
    <s v="Vatha kulambu"/>
    <n v="1"/>
    <m/>
    <x v="0"/>
  </r>
  <r>
    <s v="CS-250408-0240"/>
    <x v="8"/>
    <x v="0"/>
    <x v="0"/>
    <x v="1"/>
    <s v="Idly with meen kuzhambu"/>
    <n v="2"/>
    <n v="260"/>
    <x v="1"/>
  </r>
  <r>
    <s v="CS-250408-0238"/>
    <x v="8"/>
    <x v="0"/>
    <x v="0"/>
    <x v="1"/>
    <s v="White veg pulav (Basmathi rice)"/>
    <n v="1"/>
    <n v="640"/>
    <x v="0"/>
  </r>
  <r>
    <m/>
    <x v="1"/>
    <x v="1"/>
    <x v="3"/>
    <x v="2"/>
    <s v="Seeraga samba mutton biryani"/>
    <n v="1"/>
    <m/>
    <x v="1"/>
  </r>
  <r>
    <m/>
    <x v="1"/>
    <x v="1"/>
    <x v="3"/>
    <x v="2"/>
    <s v="Prawn kurma"/>
    <n v="1"/>
    <m/>
    <x v="1"/>
  </r>
  <r>
    <s v="CS-250408-0137"/>
    <x v="8"/>
    <x v="0"/>
    <x v="0"/>
    <x v="1"/>
    <s v="Coconut rice with potato thokku"/>
    <n v="1"/>
    <n v="240"/>
    <x v="0"/>
  </r>
  <r>
    <m/>
    <x v="1"/>
    <x v="1"/>
    <x v="3"/>
    <x v="2"/>
    <s v="Chicken thokku"/>
    <n v="1"/>
    <m/>
    <x v="1"/>
  </r>
  <r>
    <s v="CS-250408-0153"/>
    <x v="8"/>
    <x v="0"/>
    <x v="0"/>
    <x v="1"/>
    <s v="Variety rice combo 1"/>
    <n v="2"/>
    <n v="325"/>
    <x v="0"/>
  </r>
  <r>
    <m/>
    <x v="1"/>
    <x v="1"/>
    <x v="3"/>
    <x v="2"/>
    <s v="Variety rice combo 2"/>
    <n v="1"/>
    <m/>
    <x v="0"/>
  </r>
  <r>
    <s v="CS-250408-0187"/>
    <x v="9"/>
    <x v="2"/>
    <x v="0"/>
    <x v="0"/>
    <s v="Rice(750ml), mor kulambu(250ml),potato fry(100ml),kathirikkai kootu(100ml),rasam(100ml),mor(100ml),appalam"/>
    <n v="1"/>
    <n v="129"/>
    <x v="0"/>
  </r>
  <r>
    <s v="CS-250408-0185"/>
    <x v="9"/>
    <x v="2"/>
    <x v="0"/>
    <x v="0"/>
    <s v="Steamed rice (500ml), Fish gravy (250ml) with pcs, Rasam (100ml)"/>
    <n v="1"/>
    <n v="179"/>
    <x v="1"/>
  </r>
  <r>
    <s v="CS-250408-0189"/>
    <x v="9"/>
    <x v="2"/>
    <x v="2"/>
    <x v="0"/>
    <s v="Uthappam (3 nos) with puthina chutney (250ml)"/>
    <n v="2"/>
    <n v="158"/>
    <x v="0"/>
  </r>
  <r>
    <s v="CS-250408-0191"/>
    <x v="9"/>
    <x v="2"/>
    <x v="0"/>
    <x v="0"/>
    <s v="Steamed rice (500ml), Fish gravy (250ml) with pcs, Rasam (100ml)"/>
    <n v="1"/>
    <n v="129"/>
    <x v="1"/>
  </r>
  <r>
    <s v="CS-250408-0193"/>
    <x v="9"/>
    <x v="2"/>
    <x v="1"/>
    <x v="0"/>
    <s v="Pesarattu dosa(3no.s) with kaara chutney(250ml), Omelette (1 nos)"/>
    <n v="1"/>
    <n v="99"/>
    <x v="1"/>
  </r>
  <r>
    <s v="CS-250408-0194"/>
    <x v="9"/>
    <x v="2"/>
    <x v="1"/>
    <x v="0"/>
    <s v="Idly (4 pcs) with Fish kulambu (250ml)"/>
    <n v="1"/>
    <n v="112"/>
    <x v="1"/>
  </r>
  <r>
    <s v="CS-250408-0196"/>
    <x v="9"/>
    <x v="2"/>
    <x v="2"/>
    <x v="0"/>
    <s v="Poori(4no.s) with chicken kuzhambu (250ml)"/>
    <n v="1"/>
    <n v="129"/>
    <x v="1"/>
  </r>
  <r>
    <s v="CS-250408-0200"/>
    <x v="9"/>
    <x v="2"/>
    <x v="0"/>
    <x v="0"/>
    <s v="Steamed rice (500ml), Fish gravy (250ml) with pcs, Rasam (100ml)"/>
    <n v="1"/>
    <n v="179"/>
    <x v="1"/>
  </r>
  <r>
    <s v="CS-250408-0204"/>
    <x v="9"/>
    <x v="2"/>
    <x v="1"/>
    <x v="0"/>
    <s v="Pesarattu dosa(3no.s) with kaara chutney(250ml), Omelette (1 nos)"/>
    <n v="1"/>
    <n v="99"/>
    <x v="1"/>
  </r>
  <r>
    <s v="CS-250408-0230"/>
    <x v="9"/>
    <x v="2"/>
    <x v="0"/>
    <x v="0"/>
    <s v="Puliyotharai (500ml) with poriyal (100ml)"/>
    <n v="2"/>
    <n v="198"/>
    <x v="0"/>
  </r>
  <r>
    <s v="CS-250409-0030"/>
    <x v="9"/>
    <x v="2"/>
    <x v="0"/>
    <x v="1"/>
    <s v="Mutton thokku"/>
    <n v="1"/>
    <n v="470"/>
    <x v="1"/>
  </r>
  <r>
    <m/>
    <x v="1"/>
    <x v="1"/>
    <x v="3"/>
    <x v="2"/>
    <s v="Mushroom Biryani(seeraga samba rice)"/>
    <n v="1"/>
    <m/>
    <x v="0"/>
  </r>
  <r>
    <s v="CS-250409-0033"/>
    <x v="9"/>
    <x v="2"/>
    <x v="0"/>
    <x v="1"/>
    <s v="Chicken thokku"/>
    <n v="1"/>
    <n v="670"/>
    <x v="1"/>
  </r>
  <r>
    <m/>
    <x v="1"/>
    <x v="1"/>
    <x v="3"/>
    <x v="2"/>
    <s v="Paruppu payasam"/>
    <n v="1"/>
    <m/>
    <x v="0"/>
  </r>
  <r>
    <m/>
    <x v="1"/>
    <x v="1"/>
    <x v="3"/>
    <x v="2"/>
    <s v="Mushroom Biryani(seeraga samba rice)"/>
    <n v="2"/>
    <m/>
    <x v="0"/>
  </r>
  <r>
    <s v="CS-250409-0043"/>
    <x v="9"/>
    <x v="2"/>
    <x v="0"/>
    <x v="1"/>
    <s v="Keerai paruppu kadayal"/>
    <n v="1"/>
    <n v="350"/>
    <x v="0"/>
  </r>
  <r>
    <m/>
    <x v="1"/>
    <x v="1"/>
    <x v="3"/>
    <x v="2"/>
    <s v="Vazhakkai varuval"/>
    <n v="1"/>
    <m/>
    <x v="0"/>
  </r>
  <r>
    <m/>
    <x v="1"/>
    <x v="1"/>
    <x v="3"/>
    <x v="2"/>
    <s v="Potato thokku"/>
    <n v="1"/>
    <m/>
    <x v="0"/>
  </r>
  <r>
    <m/>
    <x v="1"/>
    <x v="1"/>
    <x v="3"/>
    <x v="2"/>
    <s v="White rice"/>
    <n v="1"/>
    <m/>
    <x v="0"/>
  </r>
  <r>
    <s v="CS-250409-0048"/>
    <x v="9"/>
    <x v="2"/>
    <x v="0"/>
    <x v="1"/>
    <s v="Crab kurma"/>
    <n v="1"/>
    <n v="160"/>
    <x v="1"/>
  </r>
  <r>
    <s v="CS-250409-0062"/>
    <x v="9"/>
    <x v="2"/>
    <x v="0"/>
    <x v="1"/>
    <s v="Rice with chicken gravy"/>
    <n v="1"/>
    <n v="350"/>
    <x v="1"/>
  </r>
  <r>
    <m/>
    <x v="1"/>
    <x v="1"/>
    <x v="3"/>
    <x v="2"/>
    <s v="Pepper chicken"/>
    <n v="1"/>
    <m/>
    <x v="1"/>
  </r>
  <r>
    <s v="CS-250409-0065"/>
    <x v="9"/>
    <x v="2"/>
    <x v="0"/>
    <x v="1"/>
    <s v="Rice with sambar and poriyal"/>
    <n v="1"/>
    <n v="95"/>
    <x v="0"/>
  </r>
  <r>
    <s v="CS-250409-0075"/>
    <x v="9"/>
    <x v="2"/>
    <x v="0"/>
    <x v="1"/>
    <s v="Side dish combo"/>
    <n v="1"/>
    <n v="240"/>
    <x v="1"/>
  </r>
  <r>
    <s v="CS-250409-0098"/>
    <x v="9"/>
    <x v="2"/>
    <x v="0"/>
    <x v="1"/>
    <s v="Prawn kurma"/>
    <n v="1"/>
    <n v="190"/>
    <x v="1"/>
  </r>
  <r>
    <s v="CS-250409-0170"/>
    <x v="9"/>
    <x v="2"/>
    <x v="0"/>
    <x v="1"/>
    <s v="Mor kuzhambu"/>
    <n v="1"/>
    <m/>
    <x v="0"/>
  </r>
  <r>
    <m/>
    <x v="1"/>
    <x v="1"/>
    <x v="3"/>
    <x v="2"/>
    <s v="Chicken 65"/>
    <n v="1"/>
    <m/>
    <x v="1"/>
  </r>
  <r>
    <m/>
    <x v="1"/>
    <x v="1"/>
    <x v="3"/>
    <x v="2"/>
    <s v="Vatha kulambu"/>
    <n v="1"/>
    <m/>
    <x v="0"/>
  </r>
  <r>
    <m/>
    <x v="1"/>
    <x v="1"/>
    <x v="3"/>
    <x v="2"/>
    <s v="Keerai kootu"/>
    <n v="1"/>
    <m/>
    <x v="0"/>
  </r>
  <r>
    <s v="CS-250409-0201"/>
    <x v="10"/>
    <x v="3"/>
    <x v="0"/>
    <x v="0"/>
    <s v="Lemon rice (500ml) with egg pepper fry (2no.s)"/>
    <n v="1"/>
    <n v="99"/>
    <x v="1"/>
  </r>
  <r>
    <s v="CS-250409-0207"/>
    <x v="10"/>
    <x v="3"/>
    <x v="0"/>
    <x v="0"/>
    <s v="Steamed rice(750ml), veg gravy(250ml), chicken 65(250ml), poriyal(100ml), curd(100ml)"/>
    <n v="1"/>
    <n v="129"/>
    <x v="1"/>
  </r>
  <r>
    <s v="CS-250409-0208"/>
    <x v="10"/>
    <x v="3"/>
    <x v="0"/>
    <x v="0"/>
    <s v="Chicken fried rice (500ml) with sauce"/>
    <n v="1"/>
    <n v="149"/>
    <x v="1"/>
  </r>
  <r>
    <s v="CS-250409-0213"/>
    <x v="10"/>
    <x v="3"/>
    <x v="2"/>
    <x v="0"/>
    <s v="Rava bath (500ml) with coconut chutney(100ml)"/>
    <n v="2"/>
    <n v="158"/>
    <x v="0"/>
  </r>
  <r>
    <s v="CS-250409-0209"/>
    <x v="10"/>
    <x v="3"/>
    <x v="2"/>
    <x v="0"/>
    <s v="Egg dosa (1 no.s), Plain dosa (2 pcs) with sambar (250ml) qnd chutney (100ml)"/>
    <n v="1"/>
    <n v="117"/>
    <x v="1"/>
  </r>
  <r>
    <s v="CS-250409-0220"/>
    <x v="10"/>
    <x v="3"/>
    <x v="0"/>
    <x v="0"/>
    <s v="Lemon rice (500ml) with egg pepper fry (2no.s)"/>
    <n v="1"/>
    <n v="99"/>
    <x v="1"/>
  </r>
  <r>
    <s v="CS-250409-0221"/>
    <x v="10"/>
    <x v="3"/>
    <x v="0"/>
    <x v="0"/>
    <s v="Chicken fried rice (500ml) with sauce"/>
    <n v="1"/>
    <n v="149"/>
    <x v="1"/>
  </r>
  <r>
    <s v="CS-250409-0221"/>
    <x v="10"/>
    <x v="3"/>
    <x v="0"/>
    <x v="0"/>
    <s v="Coconut rice (500ml) with poriyal (100ml)"/>
    <n v="2"/>
    <n v="198"/>
    <x v="0"/>
  </r>
  <r>
    <s v="CS-250409-0240"/>
    <x v="10"/>
    <x v="3"/>
    <x v="1"/>
    <x v="0"/>
    <s v="Uluthan kali (500ml) with jaggery"/>
    <n v="1"/>
    <n v="117"/>
    <x v="0"/>
  </r>
  <r>
    <s v="CS-250409-0237"/>
    <x v="10"/>
    <x v="3"/>
    <x v="0"/>
    <x v="0"/>
    <s v="Rice(750ml), tomato curry(250ml), vazhakkai varuval(200ml), rasam(100ml) mor (100ml), appalam, pickle"/>
    <n v="1"/>
    <n v="129"/>
    <x v="0"/>
  </r>
  <r>
    <s v="CS-250410-0037"/>
    <x v="10"/>
    <x v="3"/>
    <x v="0"/>
    <x v="1"/>
    <s v="Kavalai fish fry"/>
    <n v="1"/>
    <n v="360"/>
    <x v="1"/>
  </r>
  <r>
    <m/>
    <x v="1"/>
    <x v="1"/>
    <x v="3"/>
    <x v="2"/>
    <s v="Meen kuzhambu"/>
    <n v="1"/>
    <m/>
    <x v="1"/>
  </r>
  <r>
    <m/>
    <x v="1"/>
    <x v="1"/>
    <x v="3"/>
    <x v="2"/>
    <s v="Vepampoo rasam"/>
    <n v="1"/>
    <m/>
    <x v="0"/>
  </r>
  <r>
    <s v="CS-250410-0080"/>
    <x v="10"/>
    <x v="3"/>
    <x v="0"/>
    <x v="1"/>
    <s v="White rice"/>
    <n v="1"/>
    <n v="410"/>
    <x v="0"/>
  </r>
  <r>
    <m/>
    <x v="1"/>
    <x v="1"/>
    <x v="3"/>
    <x v="2"/>
    <s v="Mutton kuzhambu (with bones)"/>
    <n v="1"/>
    <m/>
    <x v="1"/>
  </r>
  <r>
    <s v="CS-250410-0094"/>
    <x v="10"/>
    <x v="3"/>
    <x v="0"/>
    <x v="1"/>
    <s v="Mushroom Biryani(seeraga samba rice)"/>
    <n v="1"/>
    <n v="640"/>
    <x v="0"/>
  </r>
  <r>
    <m/>
    <x v="1"/>
    <x v="1"/>
    <x v="3"/>
    <x v="2"/>
    <s v="Ayala fish fry"/>
    <n v="1"/>
    <m/>
    <x v="1"/>
  </r>
  <r>
    <m/>
    <x v="1"/>
    <x v="1"/>
    <x v="3"/>
    <x v="2"/>
    <s v="Pepper chicken"/>
    <n v="1"/>
    <m/>
    <x v="1"/>
  </r>
  <r>
    <m/>
    <x v="1"/>
    <x v="1"/>
    <x v="3"/>
    <x v="2"/>
    <s v="Meen kuzhambu"/>
    <n v="1"/>
    <m/>
    <x v="1"/>
  </r>
  <r>
    <s v="CS-250410-0101"/>
    <x v="10"/>
    <x v="3"/>
    <x v="0"/>
    <x v="1"/>
    <s v="Chicken kuzhambu"/>
    <n v="1"/>
    <n v="200"/>
    <x v="1"/>
  </r>
  <r>
    <s v="CS-250410-0155"/>
    <x v="10"/>
    <x v="3"/>
    <x v="0"/>
    <x v="1"/>
    <s v="Mor kuzhambu"/>
    <n v="1"/>
    <n v="225"/>
    <x v="0"/>
  </r>
  <r>
    <m/>
    <x v="1"/>
    <x v="1"/>
    <x v="3"/>
    <x v="2"/>
    <s v="Vazhakkai varuval"/>
    <n v="1"/>
    <m/>
    <x v="0"/>
  </r>
  <r>
    <m/>
    <x v="1"/>
    <x v="1"/>
    <x v="3"/>
    <x v="2"/>
    <s v="Vendakkai poriyal"/>
    <n v="1"/>
    <m/>
    <x v="0"/>
  </r>
  <r>
    <s v="CS-250410-0202"/>
    <x v="11"/>
    <x v="4"/>
    <x v="0"/>
    <x v="0"/>
    <s v="Steamed rice (500ml), Rasam (250ml), Chicken uppu kari(100ml)"/>
    <n v="1"/>
    <n v="129"/>
    <x v="1"/>
  </r>
  <r>
    <s v="CS-250410-0204"/>
    <x v="11"/>
    <x v="4"/>
    <x v="1"/>
    <x v="0"/>
    <s v="Idly (4 nos) with vada curry (250ml)"/>
    <n v="1"/>
    <n v="99"/>
    <x v="1"/>
  </r>
  <r>
    <s v="CS-250410-0205"/>
    <x v="11"/>
    <x v="4"/>
    <x v="1"/>
    <x v="0"/>
    <s v="Appam (4 pcs) with Chicken stew (250ml)"/>
    <n v="1"/>
    <n v="129"/>
    <x v="1"/>
  </r>
  <r>
    <s v="CS-250410-0210"/>
    <x v="11"/>
    <x v="4"/>
    <x v="0"/>
    <x v="0"/>
    <s v="Keerai Sadham (500ml) with poriyal (100 ml)"/>
    <n v="2"/>
    <n v="99"/>
    <x v="0"/>
  </r>
  <r>
    <s v="CS-250410-0224"/>
    <x v="11"/>
    <x v="4"/>
    <x v="2"/>
    <x v="0"/>
    <s v="Kara paniyara (10 pcs) with kara chutney (100ml)"/>
    <n v="2"/>
    <n v="198"/>
    <x v="0"/>
  </r>
  <r>
    <s v="CS-250410-0223"/>
    <x v="11"/>
    <x v="4"/>
    <x v="0"/>
    <x v="0"/>
    <s v="Rice (750ml),Keerai Kadayal(250ml), Carrot Poriyal (200ml), Rasam (100ml), Mor (100ml), Appalam, Pickle"/>
    <n v="1"/>
    <n v="129"/>
    <x v="0"/>
  </r>
  <r>
    <s v="CS-250410-0232"/>
    <x v="11"/>
    <x v="4"/>
    <x v="1"/>
    <x v="0"/>
    <s v="Adai dosa (3 no.s) with kaara chutney (250ml)"/>
    <n v="1"/>
    <n v="99"/>
    <x v="0"/>
  </r>
  <r>
    <s v="CS-250410-0238"/>
    <x v="11"/>
    <x v="4"/>
    <x v="0"/>
    <x v="0"/>
    <s v="Steamed rice (500ml), Rasam (250ml), Chicken uppu kari(100ml)"/>
    <n v="1"/>
    <n v="129"/>
    <x v="1"/>
  </r>
  <r>
    <s v="CS-250410-0208"/>
    <x v="11"/>
    <x v="4"/>
    <x v="2"/>
    <x v="0"/>
    <s v="Kara paniyara (10 pcs) with kara chutney (100ml)"/>
    <n v="1"/>
    <n v="99"/>
    <x v="0"/>
  </r>
  <r>
    <s v="CS-250411-0166"/>
    <x v="12"/>
    <x v="5"/>
    <x v="1"/>
    <x v="0"/>
    <s v="Ragi dosa (4 no.s) with Sambar (250ml) and Chutney (100ml)"/>
    <n v="1"/>
    <n v="79"/>
    <x v="0"/>
  </r>
  <r>
    <s v="CS-250411-0169"/>
    <x v="12"/>
    <x v="5"/>
    <x v="1"/>
    <x v="0"/>
    <s v="Chicken kheema dosa (1 pcs), Kal dosa (1 pcs) with Chutney (250ml)"/>
    <n v="1"/>
    <n v="149"/>
    <x v="1"/>
  </r>
  <r>
    <s v="CS-250411-0174"/>
    <x v="12"/>
    <x v="5"/>
    <x v="2"/>
    <x v="0"/>
    <s v="Ven pongal(500ml) with sambar (250ml) and coconut chutney (100ml)"/>
    <n v="2"/>
    <n v="158"/>
    <x v="0"/>
  </r>
  <r>
    <s v="CS-250411-0172"/>
    <x v="12"/>
    <x v="5"/>
    <x v="0"/>
    <x v="0"/>
    <s v="Steamed Rice (500ml), Egg gravy with 2 eggs, Rasam (100ml), Appalam"/>
    <n v="1"/>
    <n v="117"/>
    <x v="1"/>
  </r>
  <r>
    <s v="CS-250411-0173"/>
    <x v="12"/>
    <x v="5"/>
    <x v="2"/>
    <x v="0"/>
    <s v="Ven pongal(500ml) with sambar (250ml) and coconut chutney (100ml)"/>
    <n v="1"/>
    <n v="79"/>
    <x v="0"/>
  </r>
  <r>
    <s v="CS-250411-0177"/>
    <x v="12"/>
    <x v="5"/>
    <x v="0"/>
    <x v="0"/>
    <s v="Malli rice (500ml) with poriyal (100ml)"/>
    <n v="2"/>
    <n v="79"/>
    <x v="0"/>
  </r>
  <r>
    <s v="CS-250411-0198"/>
    <x v="12"/>
    <x v="5"/>
    <x v="0"/>
    <x v="0"/>
    <s v="Rice (750ml), Payaru Kulambu (250ml), Pudalangai kootu (200ml), Rasam (100ml), Mor (100ml), Appalam, Pickle"/>
    <n v="1"/>
    <n v="112"/>
    <x v="0"/>
  </r>
  <r>
    <s v="CS-250412-0066"/>
    <x v="12"/>
    <x v="5"/>
    <x v="0"/>
    <x v="1"/>
    <s v="Potato thokku"/>
    <n v="1"/>
    <n v="270"/>
    <x v="0"/>
  </r>
  <r>
    <m/>
    <x v="1"/>
    <x v="1"/>
    <x v="3"/>
    <x v="2"/>
    <s v="Keerai paruppu kadayal"/>
    <n v="1"/>
    <m/>
    <x v="0"/>
  </r>
  <r>
    <m/>
    <x v="1"/>
    <x v="1"/>
    <x v="3"/>
    <x v="2"/>
    <s v="Egg podimas"/>
    <n v="1"/>
    <m/>
    <x v="1"/>
  </r>
  <r>
    <s v="CS-250412-0142"/>
    <x v="12"/>
    <x v="5"/>
    <x v="0"/>
    <x v="1"/>
    <s v="Chicken Biryani"/>
    <n v="1"/>
    <n v="350"/>
    <x v="1"/>
  </r>
  <r>
    <m/>
    <x v="1"/>
    <x v="1"/>
    <x v="3"/>
    <x v="2"/>
    <s v="Chicken thokku"/>
    <n v="1"/>
    <m/>
    <x v="1"/>
  </r>
  <r>
    <s v="CS-250412-0163"/>
    <x v="12"/>
    <x v="5"/>
    <x v="0"/>
    <x v="1"/>
    <s v="Lemon rice with potato thokku"/>
    <n v="1"/>
    <n v="140"/>
    <x v="0"/>
  </r>
  <r>
    <m/>
    <x v="1"/>
    <x v="1"/>
    <x v="3"/>
    <x v="2"/>
    <s v="Double Omelette"/>
    <n v="1"/>
    <m/>
    <x v="1"/>
  </r>
  <r>
    <s v="CS-250412-0188"/>
    <x v="12"/>
    <x v="5"/>
    <x v="0"/>
    <x v="1"/>
    <s v="Mixed vegetable sambar"/>
    <n v="1"/>
    <n v="420"/>
    <x v="0"/>
  </r>
  <r>
    <m/>
    <x v="1"/>
    <x v="1"/>
    <x v="3"/>
    <x v="2"/>
    <s v="Gobi 65"/>
    <n v="1"/>
    <m/>
    <x v="0"/>
  </r>
  <r>
    <m/>
    <x v="1"/>
    <x v="1"/>
    <x v="3"/>
    <x v="2"/>
    <s v="Paruppu payasam"/>
    <n v="1"/>
    <m/>
    <x v="0"/>
  </r>
  <r>
    <s v="CS-250412-0207"/>
    <x v="12"/>
    <x v="5"/>
    <x v="0"/>
    <x v="1"/>
    <s v="Mushroom Biryani(seeraga samba rice)"/>
    <n v="1"/>
    <n v="190"/>
    <x v="0"/>
  </r>
  <r>
    <s v="CS-250412-0274"/>
    <x v="13"/>
    <x v="6"/>
    <x v="1"/>
    <x v="0"/>
    <s v="Chapathi (4 pcs) with Chicken curry (250ml)"/>
    <n v="1"/>
    <n v="129"/>
    <x v="1"/>
  </r>
  <r>
    <s v="CS-250412-0272"/>
    <x v="13"/>
    <x v="6"/>
    <x v="1"/>
    <x v="0"/>
    <s v="Chapathi (4 pcs) with Chicken curry (250ml)"/>
    <n v="1"/>
    <n v="129"/>
    <x v="0"/>
  </r>
  <r>
    <s v="CS-250412-0276"/>
    <x v="13"/>
    <x v="6"/>
    <x v="2"/>
    <x v="0"/>
    <s v="Appam (3 nos) with coconut milk (250ml)"/>
    <n v="2"/>
    <n v="198"/>
    <x v="0"/>
  </r>
  <r>
    <s v="CS-250412-0282"/>
    <x v="13"/>
    <x v="6"/>
    <x v="2"/>
    <x v="0"/>
    <s v="Appam (3 pcs) with Chicken gravy (250ml)"/>
    <n v="1"/>
    <n v="117"/>
    <x v="1"/>
  </r>
  <r>
    <s v="CS-250412-0281"/>
    <x v="13"/>
    <x v="6"/>
    <x v="0"/>
    <x v="0"/>
    <s v="Tomato rice(500ml), chicken 65 (100ml), raita (100ml)"/>
    <n v="1"/>
    <n v="129"/>
    <x v="1"/>
  </r>
  <r>
    <s v="CS-250412-0286"/>
    <x v="13"/>
    <x v="6"/>
    <x v="0"/>
    <x v="0"/>
    <s v="Fish curry (500ml) (1 pcs), Fish fry (2 pcs) (serves 2)"/>
    <n v="1"/>
    <n v="179"/>
    <x v="1"/>
  </r>
  <r>
    <s v="CS-250413-0041"/>
    <x v="13"/>
    <x v="6"/>
    <x v="0"/>
    <x v="1"/>
    <s v="Ayala fish fry"/>
    <n v="3"/>
    <n v="420"/>
    <x v="1"/>
  </r>
  <r>
    <s v="CS-250413-0115"/>
    <x v="13"/>
    <x v="6"/>
    <x v="0"/>
    <x v="1"/>
    <s v="Rice with chicken kulambu"/>
    <n v="1"/>
    <n v="170"/>
    <x v="1"/>
  </r>
  <r>
    <s v="CS-250413-0118"/>
    <x v="13"/>
    <x v="6"/>
    <x v="0"/>
    <x v="1"/>
    <s v="Egg fry"/>
    <n v="1"/>
    <n v="375"/>
    <x v="1"/>
  </r>
  <r>
    <m/>
    <x v="1"/>
    <x v="1"/>
    <x v="3"/>
    <x v="2"/>
    <s v="Side dish combo"/>
    <n v="1"/>
    <m/>
    <x v="1"/>
  </r>
  <r>
    <m/>
    <x v="1"/>
    <x v="1"/>
    <x v="3"/>
    <x v="2"/>
    <s v="Vatha kulambu"/>
    <n v="1"/>
    <m/>
    <x v="0"/>
  </r>
  <r>
    <s v="CS-250413-0172"/>
    <x v="13"/>
    <x v="6"/>
    <x v="0"/>
    <x v="1"/>
    <s v="Vatha kulambu"/>
    <n v="1"/>
    <n v="510"/>
    <x v="0"/>
  </r>
  <r>
    <m/>
    <x v="1"/>
    <x v="1"/>
    <x v="3"/>
    <x v="2"/>
    <s v="Mutton kuzhambu (with bones)"/>
    <n v="1"/>
    <m/>
    <x v="1"/>
  </r>
  <r>
    <m/>
    <x v="1"/>
    <x v="1"/>
    <x v="3"/>
    <x v="2"/>
    <s v="Sakkarai pongal"/>
    <n v="1"/>
    <m/>
    <x v="0"/>
  </r>
  <r>
    <s v="CS-250413-0182"/>
    <x v="13"/>
    <x v="6"/>
    <x v="0"/>
    <x v="1"/>
    <s v="Keerai paruppu kadayal"/>
    <n v="1"/>
    <n v="260"/>
    <x v="0"/>
  </r>
  <r>
    <m/>
    <x v="1"/>
    <x v="1"/>
    <x v="3"/>
    <x v="2"/>
    <s v="Vendakkai poriyal"/>
    <n v="2"/>
    <m/>
    <x v="0"/>
  </r>
  <r>
    <s v="CS-250413-0221"/>
    <x v="13"/>
    <x v="6"/>
    <x v="0"/>
    <x v="1"/>
    <s v="Pepper prawn thokku"/>
    <n v="1"/>
    <n v="340"/>
    <x v="1"/>
  </r>
  <r>
    <m/>
    <x v="1"/>
    <x v="1"/>
    <x v="3"/>
    <x v="2"/>
    <s v="White rice"/>
    <n v="1"/>
    <m/>
    <x v="0"/>
  </r>
  <r>
    <m/>
    <x v="1"/>
    <x v="1"/>
    <x v="3"/>
    <x v="2"/>
    <s v="Keerai kootu"/>
    <n v="1"/>
    <m/>
    <x v="0"/>
  </r>
  <r>
    <s v="CS-250413-0274"/>
    <x v="13"/>
    <x v="6"/>
    <x v="0"/>
    <x v="1"/>
    <s v="Keerai paruppu kadayal"/>
    <n v="1"/>
    <n v="440"/>
    <x v="0"/>
  </r>
  <r>
    <m/>
    <x v="1"/>
    <x v="1"/>
    <x v="3"/>
    <x v="2"/>
    <s v="Egg podimas"/>
    <n v="1"/>
    <m/>
    <x v="1"/>
  </r>
  <r>
    <m/>
    <x v="1"/>
    <x v="1"/>
    <x v="3"/>
    <x v="2"/>
    <s v="White rice"/>
    <n v="2"/>
    <m/>
    <x v="0"/>
  </r>
  <r>
    <m/>
    <x v="1"/>
    <x v="1"/>
    <x v="3"/>
    <x v="2"/>
    <s v="Vazhakkai varuval"/>
    <n v="1"/>
    <m/>
    <x v="0"/>
  </r>
  <r>
    <s v="CS-250413-0293"/>
    <x v="14"/>
    <x v="7"/>
    <x v="0"/>
    <x v="0"/>
    <s v="Ghee rice (500ml) with 100ml gravy"/>
    <n v="1"/>
    <n v="117"/>
    <x v="0"/>
  </r>
  <r>
    <s v="CS-250413-0298"/>
    <x v="14"/>
    <x v="7"/>
    <x v="2"/>
    <x v="0"/>
    <s v="Mini ghee podi idly (500ml) with chutney (250ml)"/>
    <n v="1"/>
    <n v="99"/>
    <x v="0"/>
  </r>
  <r>
    <s v="CS-250413-0310"/>
    <x v="14"/>
    <x v="7"/>
    <x v="2"/>
    <x v="0"/>
    <s v="Idly (4 nos) with Sambar (250 ml) and green chutney (100ml)"/>
    <n v="2"/>
    <n v="158"/>
    <x v="0"/>
  </r>
  <r>
    <s v="CS-250413-0307"/>
    <x v="14"/>
    <x v="7"/>
    <x v="0"/>
    <x v="0"/>
    <s v="Ghee rice (500ml) with 100ml gravy"/>
    <n v="1"/>
    <n v="117"/>
    <x v="0"/>
  </r>
  <r>
    <s v="CS-250413-0315"/>
    <x v="14"/>
    <x v="7"/>
    <x v="1"/>
    <x v="0"/>
    <s v="Dosa (3no.s) with pepper chicken curry(250ml)"/>
    <n v="1"/>
    <n v="117"/>
    <x v="1"/>
  </r>
  <r>
    <s v="CS-250413-0317"/>
    <x v="14"/>
    <x v="7"/>
    <x v="1"/>
    <x v="0"/>
    <s v="Samba wheat kichadi(500l) with coconut chutney (100ml)"/>
    <n v="1"/>
    <n v="79"/>
    <x v="0"/>
  </r>
  <r>
    <s v="CS-250413-0316"/>
    <x v="14"/>
    <x v="7"/>
    <x v="0"/>
    <x v="0"/>
    <s v="Rice (750ml), Vendakkai kara kulambu (250ml), Beetroot poriyal(200ml), Rasam (100ml), Mor (100ml), Appalam, Pickle"/>
    <n v="1"/>
    <n v="112"/>
    <x v="0"/>
  </r>
  <r>
    <s v="CS-250413-0386"/>
    <x v="14"/>
    <x v="7"/>
    <x v="0"/>
    <x v="1"/>
    <s v="Sakkarai pongal"/>
    <n v="1"/>
    <n v="385"/>
    <x v="0"/>
  </r>
  <r>
    <m/>
    <x v="1"/>
    <x v="1"/>
    <x v="3"/>
    <x v="2"/>
    <s v="Rice with sambar and poriyal"/>
    <n v="1"/>
    <m/>
    <x v="0"/>
  </r>
  <r>
    <m/>
    <x v="1"/>
    <x v="1"/>
    <x v="3"/>
    <x v="2"/>
    <s v="Variety rice combo 2"/>
    <n v="1"/>
    <m/>
    <x v="0"/>
  </r>
  <r>
    <m/>
    <x v="1"/>
    <x v="1"/>
    <x v="3"/>
    <x v="2"/>
    <s v="Vazhakkai varuval"/>
    <n v="1"/>
    <m/>
    <x v="0"/>
  </r>
  <r>
    <s v="CS-250414-0190"/>
    <x v="15"/>
    <x v="0"/>
    <x v="0"/>
    <x v="0"/>
    <s v="Rice (500ml), Sambar (250ml), Chicken 65 (100ml), Poriyal (100ml), Rasam (100ml)"/>
    <n v="1"/>
    <n v="129"/>
    <x v="1"/>
  </r>
  <r>
    <s v="CS-250414-0191"/>
    <x v="15"/>
    <x v="0"/>
    <x v="2"/>
    <x v="0"/>
    <s v="Chapathi (4 nos) with Veg gravy (250ml)"/>
    <n v="2"/>
    <n v="198"/>
    <x v="0"/>
  </r>
  <r>
    <s v="CS-250414-0193"/>
    <x v="15"/>
    <x v="0"/>
    <x v="1"/>
    <x v="0"/>
    <s v="Egg kothu chappathi(500ml) with gravy (100ml)"/>
    <n v="1"/>
    <n v="117"/>
    <x v="1"/>
  </r>
  <r>
    <s v="CS-250414-0197"/>
    <x v="15"/>
    <x v="0"/>
    <x v="0"/>
    <x v="0"/>
    <s v="Rice (750ml), Mixed Vegetable sambar (250ml), Potato fry (200ml), Rasam (100ml), Mor (100ml), Appalam, Pickle"/>
    <n v="1"/>
    <n v="112"/>
    <x v="0"/>
  </r>
  <r>
    <s v="CS-250414-0199"/>
    <x v="15"/>
    <x v="0"/>
    <x v="0"/>
    <x v="0"/>
    <s v="Steamed rice (500ml), Dhal (250ml), Chicken 65 (100ml), Boiled egg (1 nos), Rasam (100ml)"/>
    <n v="1"/>
    <n v="129"/>
    <x v="1"/>
  </r>
  <r>
    <s v="CS-250414-0194"/>
    <x v="15"/>
    <x v="0"/>
    <x v="1"/>
    <x v="0"/>
    <s v="Ragi idiyapam(4no.s) with white kurma(250ml)"/>
    <n v="1"/>
    <n v="99"/>
    <x v="0"/>
  </r>
  <r>
    <s v="CS-250414-0202"/>
    <x v="15"/>
    <x v="0"/>
    <x v="0"/>
    <x v="0"/>
    <s v="Steamed rice (500ml), Dhal (250ml), Chicken 65 (100ml), Boiled egg (1 nos), Rasam (100ml)"/>
    <n v="1"/>
    <n v="129"/>
    <x v="1"/>
  </r>
  <r>
    <s v="CS-250414-0206"/>
    <x v="15"/>
    <x v="0"/>
    <x v="2"/>
    <x v="0"/>
    <s v="Chapathi (4 pcs) with Mushroom gravy (250ml)"/>
    <n v="1"/>
    <n v="99"/>
    <x v="0"/>
  </r>
  <r>
    <s v="CS-250414-0207"/>
    <x v="15"/>
    <x v="0"/>
    <x v="0"/>
    <x v="0"/>
    <s v="Sambar rice (500ml) with poriyal (100ml)"/>
    <n v="2"/>
    <n v="99"/>
    <x v="0"/>
  </r>
  <r>
    <s v="CS-250414-0214"/>
    <x v="15"/>
    <x v="0"/>
    <x v="0"/>
    <x v="0"/>
    <s v="Sambar (500ml), Keerai poriyal (250ml) (serves 2)"/>
    <n v="1"/>
    <n v="99"/>
    <x v="0"/>
  </r>
  <r>
    <s v="CS-250415-0040"/>
    <x v="15"/>
    <x v="0"/>
    <x v="0"/>
    <x v="1"/>
    <s v="Vegetable poriyal"/>
    <n v="1"/>
    <m/>
    <x v="0"/>
  </r>
  <r>
    <m/>
    <x v="1"/>
    <x v="1"/>
    <x v="3"/>
    <x v="2"/>
    <s v="Keerai paruppu kadayal"/>
    <n v="1"/>
    <m/>
    <x v="0"/>
  </r>
  <r>
    <s v="CS-250415-0061"/>
    <x v="15"/>
    <x v="0"/>
    <x v="0"/>
    <x v="1"/>
    <s v="Ayala fish fry"/>
    <n v="1"/>
    <n v="440"/>
    <x v="1"/>
  </r>
  <r>
    <m/>
    <x v="1"/>
    <x v="1"/>
    <x v="3"/>
    <x v="2"/>
    <s v="Nethili karuvadu fry"/>
    <n v="1"/>
    <m/>
    <x v="1"/>
  </r>
  <r>
    <m/>
    <x v="1"/>
    <x v="1"/>
    <x v="3"/>
    <x v="2"/>
    <s v="Keerai paruppu kadayal"/>
    <n v="1"/>
    <m/>
    <x v="0"/>
  </r>
  <r>
    <s v="CS-250415-0098"/>
    <x v="15"/>
    <x v="0"/>
    <x v="0"/>
    <x v="1"/>
    <s v="Keerai kootu"/>
    <n v="2"/>
    <n v="160"/>
    <x v="0"/>
  </r>
  <r>
    <s v="CS-250415-0161"/>
    <x v="16"/>
    <x v="2"/>
    <x v="1"/>
    <x v="0"/>
    <s v="Idly (4 pcs) with Fish kulambu (250ml)"/>
    <n v="1"/>
    <n v="112"/>
    <x v="1"/>
  </r>
  <r>
    <s v="CS-250415-0159"/>
    <x v="16"/>
    <x v="2"/>
    <x v="2"/>
    <x v="0"/>
    <s v="Uthappam (3 nos) with puthina chutney (250ml)"/>
    <n v="2"/>
    <n v="158"/>
    <x v="0"/>
  </r>
  <r>
    <s v="CS-250415-0167"/>
    <x v="16"/>
    <x v="2"/>
    <x v="1"/>
    <x v="0"/>
    <s v="Pesarattu dosa(3no.s) with kaara chutney(250ml), Omelette (1 nos)"/>
    <n v="1"/>
    <n v="99"/>
    <x v="1"/>
  </r>
  <r>
    <s v="CS-250415-0166"/>
    <x v="16"/>
    <x v="2"/>
    <x v="2"/>
    <x v="0"/>
    <s v="Poori(4no.s) with chicken kuzhambu (250ml)"/>
    <n v="1"/>
    <n v="149"/>
    <x v="1"/>
  </r>
  <r>
    <s v="CS-250415-0179"/>
    <x v="16"/>
    <x v="2"/>
    <x v="0"/>
    <x v="0"/>
    <s v="Rice (750ml), Paruppu urundai kulambu (250ml), Keerai Poriyal (200ml), Rasam (100ml), Mor (100ml), Appalam, Pickle"/>
    <n v="1"/>
    <n v="112"/>
    <x v="0"/>
  </r>
  <r>
    <s v="CS-250415-0176"/>
    <x v="16"/>
    <x v="2"/>
    <x v="0"/>
    <x v="0"/>
    <s v="Steamed rice (500ml), Fish gravy (250ml) with pcs, Rasam (100ml)"/>
    <n v="1"/>
    <n v="179"/>
    <x v="1"/>
  </r>
  <r>
    <s v="CS-250415-0188"/>
    <x v="16"/>
    <x v="2"/>
    <x v="0"/>
    <x v="0"/>
    <s v="Puliyotharai (500ml) with poriyal (100ml)"/>
    <n v="2"/>
    <n v="198"/>
    <x v="0"/>
  </r>
  <r>
    <s v="CS-250415-0181"/>
    <x v="16"/>
    <x v="2"/>
    <x v="0"/>
    <x v="0"/>
    <s v="Steamed rice (500ml), Fish gravy (250ml) with pcs, Rasam (100ml)"/>
    <n v="1"/>
    <n v="179"/>
    <x v="1"/>
  </r>
  <r>
    <s v="CS-250415-0183"/>
    <x v="16"/>
    <x v="2"/>
    <x v="0"/>
    <x v="1"/>
    <s v="Mor kulambu (500ml), Potato fry (250ml) (serves2)"/>
    <n v="1"/>
    <m/>
    <x v="0"/>
  </r>
  <r>
    <s v="CS-250416-0041"/>
    <x v="16"/>
    <x v="2"/>
    <x v="0"/>
    <x v="1"/>
    <s v="Chicken thokku"/>
    <n v="1"/>
    <n v="330"/>
    <x v="1"/>
  </r>
  <r>
    <m/>
    <x v="1"/>
    <x v="1"/>
    <x v="3"/>
    <x v="2"/>
    <s v="Rice with chicken gravy"/>
    <n v="1"/>
    <m/>
    <x v="1"/>
  </r>
  <r>
    <s v="CS-250416-0059"/>
    <x v="16"/>
    <x v="2"/>
    <x v="0"/>
    <x v="1"/>
    <s v="Dry fish meals"/>
    <n v="1"/>
    <n v="170"/>
    <x v="1"/>
  </r>
  <r>
    <s v="CS-250416-0074"/>
    <x v="16"/>
    <x v="2"/>
    <x v="0"/>
    <x v="1"/>
    <s v="Rice with chicken gravy"/>
    <n v="1"/>
    <n v="170"/>
    <x v="1"/>
  </r>
  <r>
    <s v="CS-250416-0105"/>
    <x v="16"/>
    <x v="2"/>
    <x v="0"/>
    <x v="1"/>
    <s v="Organic Karuppu kavuni kanji"/>
    <n v="1"/>
    <n v="200"/>
    <x v="0"/>
  </r>
  <r>
    <m/>
    <x v="1"/>
    <x v="1"/>
    <x v="3"/>
    <x v="2"/>
    <s v="Egg fry"/>
    <n v="1"/>
    <m/>
    <x v="1"/>
  </r>
  <r>
    <s v="CS-250416-0107"/>
    <x v="16"/>
    <x v="2"/>
    <x v="0"/>
    <x v="1"/>
    <s v="Mutton kuzhambu (with bones)"/>
    <n v="1"/>
    <n v="330"/>
    <x v="1"/>
  </r>
  <r>
    <s v="CS-250416-0110"/>
    <x v="16"/>
    <x v="2"/>
    <x v="0"/>
    <x v="1"/>
    <s v="Dry fish meals"/>
    <n v="1"/>
    <n v="400"/>
    <x v="1"/>
  </r>
  <r>
    <m/>
    <x v="1"/>
    <x v="1"/>
    <x v="3"/>
    <x v="2"/>
    <s v="Paruppu thakkali kadayal"/>
    <n v="1"/>
    <m/>
    <x v="0"/>
  </r>
  <r>
    <m/>
    <x v="1"/>
    <x v="1"/>
    <x v="3"/>
    <x v="2"/>
    <s v="Prawn kadai rice with egg omelette"/>
    <n v="1"/>
    <m/>
    <x v="1"/>
  </r>
  <r>
    <s v="CS-250416-0199"/>
    <x v="17"/>
    <x v="3"/>
    <x v="0"/>
    <x v="0"/>
    <s v="Lemon rice (500ml) with egg pepper fry (2no.s)"/>
    <n v="1"/>
    <n v="99"/>
    <x v="1"/>
  </r>
  <r>
    <s v="CS-250416-0200"/>
    <x v="17"/>
    <x v="3"/>
    <x v="2"/>
    <x v="0"/>
    <s v="Egg dosa (1 no.s), Plain dosa (2 pcs) with sambar (250ml) qnd chutney (100ml)"/>
    <n v="1"/>
    <n v="117"/>
    <x v="1"/>
  </r>
  <r>
    <s v="CS-250416-0209"/>
    <x v="17"/>
    <x v="3"/>
    <x v="1"/>
    <x v="0"/>
    <s v="Chicken fried rice (500ml) with sauce"/>
    <n v="1"/>
    <n v="149"/>
    <x v="1"/>
  </r>
  <r>
    <s v="CS-250416-0210"/>
    <x v="17"/>
    <x v="3"/>
    <x v="1"/>
    <x v="0"/>
    <s v="Uluthan kali (500ml) with jaggery"/>
    <n v="1"/>
    <n v="117"/>
    <x v="0"/>
  </r>
  <r>
    <s v="CS-250416-0212"/>
    <x v="17"/>
    <x v="3"/>
    <x v="2"/>
    <x v="0"/>
    <s v="Rava bath (500ml) with coconut chutney(100ml)"/>
    <n v="2"/>
    <n v="158"/>
    <x v="0"/>
  </r>
  <r>
    <s v="CS-250416-0217"/>
    <x v="17"/>
    <x v="3"/>
    <x v="0"/>
    <x v="0"/>
    <s v="Rice (750ml), Tomato curry (250ml), vazhakkai varuval (200ml), Rasam (100ml), Mor (100ml), Appalam, Pickle"/>
    <n v="1"/>
    <n v="129"/>
    <x v="0"/>
  </r>
  <r>
    <s v="CS-250416-0224"/>
    <x v="17"/>
    <x v="3"/>
    <x v="0"/>
    <x v="0"/>
    <s v="Payaru kulambu (500ml), Pudalangai kootu (250ml) (serves 2)"/>
    <n v="1"/>
    <n v="129"/>
    <x v="0"/>
  </r>
  <r>
    <s v="CS-250416-0225"/>
    <x v="17"/>
    <x v="3"/>
    <x v="0"/>
    <x v="0"/>
    <s v="Coconut rice (500ml) with poriyal (100ml)"/>
    <n v="2"/>
    <n v="198"/>
    <x v="0"/>
  </r>
  <r>
    <s v="CS-250416-0205"/>
    <x v="17"/>
    <x v="3"/>
    <x v="0"/>
    <x v="0"/>
    <s v="Lemon rice (500ml) with egg pepper fry (2no.s)"/>
    <n v="1"/>
    <n v="99"/>
    <x v="1"/>
  </r>
  <r>
    <s v="CS-250417-0062"/>
    <x v="17"/>
    <x v="3"/>
    <x v="0"/>
    <x v="1"/>
    <s v="Paruppu payasam"/>
    <n v="1"/>
    <n v="450"/>
    <x v="0"/>
  </r>
  <r>
    <m/>
    <x v="1"/>
    <x v="1"/>
    <x v="3"/>
    <x v="2"/>
    <s v="Paruppu Nei"/>
    <n v="1"/>
    <m/>
    <x v="0"/>
  </r>
  <r>
    <m/>
    <x v="1"/>
    <x v="1"/>
    <x v="3"/>
    <x v="2"/>
    <s v="Chicken 65"/>
    <n v="1"/>
    <m/>
    <x v="1"/>
  </r>
  <r>
    <m/>
    <x v="1"/>
    <x v="1"/>
    <x v="3"/>
    <x v="2"/>
    <s v="White Rice"/>
    <n v="1"/>
    <m/>
    <x v="0"/>
  </r>
  <r>
    <s v="CS-250417-0078"/>
    <x v="17"/>
    <x v="3"/>
    <x v="0"/>
    <x v="1"/>
    <s v="Mushroom Biryani(seeraga samba rice)"/>
    <n v="1"/>
    <n v="190"/>
    <x v="0"/>
  </r>
  <r>
    <s v="CS-250417-0094"/>
    <x v="17"/>
    <x v="3"/>
    <x v="0"/>
    <x v="1"/>
    <s v="Lemon rice with potato thokku"/>
    <n v="1"/>
    <n v="140"/>
    <x v="0"/>
  </r>
  <r>
    <m/>
    <x v="1"/>
    <x v="1"/>
    <x v="3"/>
    <x v="2"/>
    <s v="Egg fry"/>
    <n v="1"/>
    <m/>
    <x v="1"/>
  </r>
  <r>
    <s v="CS-250417-0161"/>
    <x v="17"/>
    <x v="3"/>
    <x v="0"/>
    <x v="1"/>
    <s v="Tamarind rice with egg fry"/>
    <n v="1"/>
    <n v="280"/>
    <x v="1"/>
  </r>
  <r>
    <m/>
    <x v="1"/>
    <x v="1"/>
    <x v="3"/>
    <x v="2"/>
    <s v="White veg pulav (Basmathi rice)"/>
    <n v="1"/>
    <m/>
    <x v="0"/>
  </r>
  <r>
    <s v="CS-250417-0025"/>
    <x v="18"/>
    <x v="4"/>
    <x v="0"/>
    <x v="1"/>
    <s v="Vendakkai poriyal"/>
    <n v="1"/>
    <n v="290"/>
    <x v="0"/>
  </r>
  <r>
    <m/>
    <x v="1"/>
    <x v="1"/>
    <x v="3"/>
    <x v="2"/>
    <s v="Egg fry"/>
    <n v="1"/>
    <m/>
    <x v="1"/>
  </r>
  <r>
    <m/>
    <x v="1"/>
    <x v="1"/>
    <x v="3"/>
    <x v="2"/>
    <s v="White veg pulav (Basmathi rice)"/>
    <n v="1"/>
    <m/>
    <x v="0"/>
  </r>
  <r>
    <s v="CS-250417-0191"/>
    <x v="18"/>
    <x v="4"/>
    <x v="2"/>
    <x v="0"/>
    <s v="Adai dosa (3 no.s) with kaara chutney (250ml)"/>
    <n v="1"/>
    <n v="99"/>
    <x v="0"/>
  </r>
  <r>
    <s v="CS-250417-0197"/>
    <x v="18"/>
    <x v="4"/>
    <x v="0"/>
    <x v="0"/>
    <s v="Steamed rice (500ml), Rasam (250ml), Chicken uppu kari(100ml)"/>
    <n v="1"/>
    <n v="129"/>
    <x v="1"/>
  </r>
  <r>
    <s v="CS-250417-0202"/>
    <x v="18"/>
    <x v="4"/>
    <x v="1"/>
    <x v="0"/>
    <s v="Idly (4 nos) with vada curry (250ml)"/>
    <n v="1"/>
    <n v="99"/>
    <x v="0"/>
  </r>
  <r>
    <s v="CS-250417-0208"/>
    <x v="18"/>
    <x v="4"/>
    <x v="0"/>
    <x v="0"/>
    <s v="Keerai Sadham (500ml) with poriyal (100 ml)"/>
    <n v="2"/>
    <n v="99"/>
    <x v="0"/>
  </r>
  <r>
    <s v="CS-250417-0203"/>
    <x v="18"/>
    <x v="4"/>
    <x v="0"/>
    <x v="0"/>
    <s v="Rice (750ml), Keerai kadayal (250ml), Carrot poriyal (200ml), Rasam (100ml), Mor (100ml), Appalam, Pickle"/>
    <n v="1"/>
    <n v="129"/>
    <x v="0"/>
  </r>
  <r>
    <s v="CS-250418-0041"/>
    <x v="18"/>
    <x v="4"/>
    <x v="0"/>
    <x v="1"/>
    <s v="Keerai kootu"/>
    <n v="1"/>
    <n v="335"/>
    <x v="0"/>
  </r>
  <r>
    <m/>
    <x v="1"/>
    <x v="1"/>
    <x v="3"/>
    <x v="2"/>
    <s v="Egg fry"/>
    <n v="1"/>
    <m/>
    <x v="1"/>
  </r>
  <r>
    <m/>
    <x v="1"/>
    <x v="1"/>
    <x v="3"/>
    <x v="2"/>
    <s v="Rice with sambar and chicken 65"/>
    <n v="1"/>
    <m/>
    <x v="1"/>
  </r>
  <r>
    <m/>
    <x v="1"/>
    <x v="1"/>
    <x v="3"/>
    <x v="2"/>
    <s v="Vegetable poriyal"/>
    <n v="1"/>
    <m/>
    <x v="0"/>
  </r>
  <r>
    <s v="CS-250418-0059"/>
    <x v="18"/>
    <x v="4"/>
    <x v="0"/>
    <x v="1"/>
    <s v="Mutton thokku"/>
    <n v="1"/>
    <n v="280"/>
    <x v="0"/>
  </r>
  <r>
    <s v="CS-250418-0060"/>
    <x v="18"/>
    <x v="4"/>
    <x v="0"/>
    <x v="1"/>
    <s v="Vazhakkai varuval"/>
    <n v="1"/>
    <n v="220"/>
    <x v="0"/>
  </r>
  <r>
    <m/>
    <x v="1"/>
    <x v="1"/>
    <x v="3"/>
    <x v="2"/>
    <s v="Vegetable poriyal"/>
    <n v="1"/>
    <m/>
    <x v="0"/>
  </r>
  <r>
    <m/>
    <x v="1"/>
    <x v="1"/>
    <x v="3"/>
    <x v="2"/>
    <s v="Mor kuzhambu"/>
    <n v="1"/>
    <m/>
    <x v="0"/>
  </r>
  <r>
    <s v="CS-250418-0093"/>
    <x v="18"/>
    <x v="4"/>
    <x v="0"/>
    <x v="1"/>
    <s v="White veg pulav (Basmathi rice)"/>
    <n v="1"/>
    <n v="220"/>
    <x v="0"/>
  </r>
  <r>
    <m/>
    <x v="1"/>
    <x v="1"/>
    <x v="3"/>
    <x v="2"/>
    <s v="Egg fry "/>
    <n v="1"/>
    <m/>
    <x v="1"/>
  </r>
  <r>
    <s v="CS-250418-0094"/>
    <x v="18"/>
    <x v="4"/>
    <x v="0"/>
    <x v="1"/>
    <s v="Chicken Biryani"/>
    <n v="1"/>
    <n v="190"/>
    <x v="1"/>
  </r>
  <r>
    <s v="CS-250418-0097"/>
    <x v="18"/>
    <x v="4"/>
    <x v="0"/>
    <x v="1"/>
    <s v="Pepper chicken"/>
    <n v="1"/>
    <n v="260"/>
    <x v="1"/>
  </r>
  <r>
    <m/>
    <x v="1"/>
    <x v="1"/>
    <x v="3"/>
    <x v="2"/>
    <s v="Curd rice with potato thokku"/>
    <n v="1"/>
    <m/>
    <x v="0"/>
  </r>
  <r>
    <s v="CS-250418-0113"/>
    <x v="18"/>
    <x v="4"/>
    <x v="0"/>
    <x v="1"/>
    <s v="Tamarind rice with egg fry"/>
    <n v="1"/>
    <n v="120"/>
    <x v="1"/>
  </r>
  <r>
    <s v="CS-250418-0136"/>
    <x v="18"/>
    <x v="4"/>
    <x v="0"/>
    <x v="1"/>
    <s v="Chicken kuzhambu"/>
    <n v="1"/>
    <n v="330"/>
    <x v="1"/>
  </r>
  <r>
    <m/>
    <x v="1"/>
    <x v="1"/>
    <x v="3"/>
    <x v="2"/>
    <s v="Paruppu payasam"/>
    <n v="1"/>
    <m/>
    <x v="0"/>
  </r>
  <r>
    <s v="CS-250418-0155"/>
    <x v="18"/>
    <x v="4"/>
    <x v="0"/>
    <x v="1"/>
    <s v="Coconut rice with potato thokku"/>
    <n v="1"/>
    <n v="220"/>
    <x v="0"/>
  </r>
  <r>
    <m/>
    <x v="1"/>
    <x v="1"/>
    <x v="3"/>
    <x v="2"/>
    <s v="Lemon rice with potato thokku"/>
    <n v="1"/>
    <m/>
    <x v="0"/>
  </r>
  <r>
    <m/>
    <x v="1"/>
    <x v="1"/>
    <x v="3"/>
    <x v="2"/>
    <s v="Egg fry "/>
    <n v="1"/>
    <m/>
    <x v="1"/>
  </r>
  <r>
    <s v="CS-250418-0156"/>
    <x v="18"/>
    <x v="4"/>
    <x v="0"/>
    <x v="1"/>
    <s v="Potato thokku"/>
    <n v="2"/>
    <n v="260"/>
    <x v="0"/>
  </r>
  <r>
    <m/>
    <x v="1"/>
    <x v="1"/>
    <x v="3"/>
    <x v="2"/>
    <s v="Keerai paruppu kadayal"/>
    <n v="1"/>
    <m/>
    <x v="0"/>
  </r>
  <r>
    <s v="CS-250418-0209"/>
    <x v="19"/>
    <x v="5"/>
    <x v="2"/>
    <x v="0"/>
    <s v="Ven pongal(500ml) with sambar (250ml) and coconut chutney (100ml)"/>
    <n v="1"/>
    <n v="79"/>
    <x v="0"/>
  </r>
  <r>
    <s v="CS-250418-0210"/>
    <x v="19"/>
    <x v="5"/>
    <x v="2"/>
    <x v="0"/>
    <s v="Ven pongal(500ml) with sambar (250ml) and coconut chutney (100ml)"/>
    <n v="2"/>
    <n v="158"/>
    <x v="0"/>
  </r>
  <r>
    <s v="CS-250418-0211"/>
    <x v="19"/>
    <x v="5"/>
    <x v="1"/>
    <x v="0"/>
    <s v="Ragi dosa (4 no.s) with Sambar (250ml) and Chutney (100ml)"/>
    <n v="1"/>
    <n v="79"/>
    <x v="0"/>
  </r>
  <r>
    <s v="CS-250418-0212"/>
    <x v="19"/>
    <x v="5"/>
    <x v="0"/>
    <x v="0"/>
    <s v="Steamed Rice (500ml), Egg gravy with 2 eggs, Rasam (100ml), Appalam"/>
    <n v="1"/>
    <n v="149"/>
    <x v="1"/>
  </r>
  <r>
    <s v="CS-250418-0226"/>
    <x v="19"/>
    <x v="5"/>
    <x v="0"/>
    <x v="0"/>
    <s v="Rice (750ml), Payaru Kulambu (250ml), Pudalangai kootu (200ml), Rasam (100ml), Mor (100ml), Appalam, Pickle"/>
    <n v="1"/>
    <n v="129"/>
    <x v="0"/>
  </r>
  <r>
    <s v="CS-250418-0219"/>
    <x v="19"/>
    <x v="5"/>
    <x v="0"/>
    <x v="0"/>
    <s v="Malli rice (500ml) with poriyal (100ml)"/>
    <n v="2"/>
    <n v="99"/>
    <x v="0"/>
  </r>
  <r>
    <s v="CS-250418-0222"/>
    <x v="19"/>
    <x v="5"/>
    <x v="0"/>
    <x v="0"/>
    <s v="Steamed Rice (500ml), Egg gravy with 2 eggs, Rasam (100ml), Appalam"/>
    <n v="1"/>
    <n v="129"/>
    <x v="1"/>
  </r>
  <r>
    <s v="CS-250418-0213"/>
    <x v="19"/>
    <x v="5"/>
    <x v="1"/>
    <x v="0"/>
    <s v="Ragi dosa (4 no.s) with Sambar (250ml) and Chutney (100ml)"/>
    <n v="1"/>
    <n v="79"/>
    <x v="0"/>
  </r>
  <r>
    <s v="CS-250418-0229"/>
    <x v="19"/>
    <x v="5"/>
    <x v="2"/>
    <x v="0"/>
    <s v="Ven pongal(500ml) with sambar (250ml) and coconut chutney (100ml)"/>
    <n v="1"/>
    <n v="79"/>
    <x v="0"/>
  </r>
  <r>
    <s v="CS-250419-0040"/>
    <x v="19"/>
    <x v="5"/>
    <x v="0"/>
    <x v="1"/>
    <s v="Prawn kadai rice with egg omelette"/>
    <n v="1"/>
    <n v="170"/>
    <x v="1"/>
  </r>
  <r>
    <s v="CS-250419-0053"/>
    <x v="19"/>
    <x v="5"/>
    <x v="0"/>
    <x v="1"/>
    <s v="Keerai paruppu kadayal"/>
    <n v="1"/>
    <n v="520"/>
    <x v="0"/>
  </r>
  <r>
    <m/>
    <x v="1"/>
    <x v="1"/>
    <x v="3"/>
    <x v="2"/>
    <s v="Nethili karuvadu fry"/>
    <n v="1"/>
    <m/>
    <x v="1"/>
  </r>
  <r>
    <m/>
    <x v="1"/>
    <x v="1"/>
    <x v="3"/>
    <x v="2"/>
    <s v="Coconut rice with potato thokku"/>
    <n v="1"/>
    <m/>
    <x v="0"/>
  </r>
  <r>
    <m/>
    <x v="1"/>
    <x v="1"/>
    <x v="3"/>
    <x v="2"/>
    <s v="Vendakkai poriyal"/>
    <n v="1"/>
    <m/>
    <x v="0"/>
  </r>
  <r>
    <s v="CS-250419-0063"/>
    <x v="19"/>
    <x v="5"/>
    <x v="0"/>
    <x v="1"/>
    <s v="Keerai paruppu kadayal"/>
    <n v="1"/>
    <n v="390"/>
    <x v="0"/>
  </r>
  <r>
    <m/>
    <x v="1"/>
    <x v="1"/>
    <x v="3"/>
    <x v="2"/>
    <s v="Potato thokku"/>
    <n v="1"/>
    <m/>
    <x v="0"/>
  </r>
  <r>
    <m/>
    <x v="1"/>
    <x v="1"/>
    <x v="3"/>
    <x v="2"/>
    <s v="Vendakkai kara kozhambu"/>
    <n v="1"/>
    <m/>
    <x v="0"/>
  </r>
  <r>
    <m/>
    <x v="1"/>
    <x v="1"/>
    <x v="3"/>
    <x v="2"/>
    <s v="Rasam"/>
    <n v="1"/>
    <m/>
    <x v="0"/>
  </r>
  <r>
    <m/>
    <x v="1"/>
    <x v="1"/>
    <x v="3"/>
    <x v="2"/>
    <s v="Vegetable poriyal"/>
    <n v="1"/>
    <m/>
    <x v="0"/>
  </r>
  <r>
    <s v="CS-250419-0080"/>
    <x v="19"/>
    <x v="5"/>
    <x v="0"/>
    <x v="1"/>
    <s v="Paruppu Nei"/>
    <n v="1"/>
    <n v="305"/>
    <x v="0"/>
  </r>
  <r>
    <m/>
    <x v="1"/>
    <x v="1"/>
    <x v="3"/>
    <x v="2"/>
    <s v="Rasam"/>
    <n v="1"/>
    <m/>
    <x v="0"/>
  </r>
  <r>
    <m/>
    <x v="1"/>
    <x v="1"/>
    <x v="3"/>
    <x v="2"/>
    <s v="Potato thokku"/>
    <n v="1"/>
    <m/>
    <x v="0"/>
  </r>
  <r>
    <m/>
    <x v="1"/>
    <x v="1"/>
    <x v="3"/>
    <x v="2"/>
    <s v="White Rice"/>
    <n v="1"/>
    <m/>
    <x v="0"/>
  </r>
  <r>
    <s v="CS-250419-0086"/>
    <x v="19"/>
    <x v="5"/>
    <x v="0"/>
    <x v="1"/>
    <s v="Vazhakkai varuval"/>
    <n v="1"/>
    <n v="380"/>
    <x v="0"/>
  </r>
  <r>
    <m/>
    <x v="1"/>
    <x v="1"/>
    <x v="3"/>
    <x v="2"/>
    <s v="Double Omelette"/>
    <n v="5"/>
    <m/>
    <x v="1"/>
  </r>
  <r>
    <s v="CS-250419-0132"/>
    <x v="19"/>
    <x v="5"/>
    <x v="0"/>
    <x v="1"/>
    <s v="Rice with prawn thokku"/>
    <n v="1"/>
    <n v="650"/>
    <x v="1"/>
  </r>
  <r>
    <m/>
    <x v="1"/>
    <x v="1"/>
    <x v="3"/>
    <x v="2"/>
    <s v="Organic Karuppu kavuni kanji"/>
    <n v="1"/>
    <m/>
    <x v="0"/>
  </r>
  <r>
    <m/>
    <x v="1"/>
    <x v="1"/>
    <x v="3"/>
    <x v="2"/>
    <s v="Chicken 65"/>
    <n v="1"/>
    <m/>
    <x v="1"/>
  </r>
  <r>
    <m/>
    <x v="1"/>
    <x v="1"/>
    <x v="3"/>
    <x v="2"/>
    <s v="Chicken Biryani"/>
    <n v="1"/>
    <m/>
    <x v="1"/>
  </r>
  <r>
    <s v="CS-250419-0147"/>
    <x v="19"/>
    <x v="5"/>
    <x v="0"/>
    <x v="1"/>
    <s v="Chicken kuzhambu"/>
    <n v="1"/>
    <n v="200"/>
    <x v="1"/>
  </r>
  <r>
    <s v="CS-250419-0207"/>
    <x v="20"/>
    <x v="6"/>
    <x v="0"/>
    <x v="0"/>
    <s v="Tomato rice(500ml), chicken 65 (100ml), raita (100ml)"/>
    <n v="1"/>
    <n v="129"/>
    <x v="1"/>
  </r>
  <r>
    <s v="CS-250419-0208"/>
    <x v="20"/>
    <x v="6"/>
    <x v="2"/>
    <x v="0"/>
    <s v="Appam (3 pcs) with Chicken gravy (250ml)"/>
    <n v="1"/>
    <n v="117"/>
    <x v="1"/>
  </r>
  <r>
    <s v="CS-250419-0216"/>
    <x v="20"/>
    <x v="6"/>
    <x v="1"/>
    <x v="0"/>
    <s v="Chapathi (4 pcs) with Chicken curry (250ml)"/>
    <n v="1"/>
    <n v="129"/>
    <x v="1"/>
  </r>
  <r>
    <s v="CS-250419-0219"/>
    <x v="20"/>
    <x v="6"/>
    <x v="0"/>
    <x v="0"/>
    <s v="Tomato rice(500ml) with raita (100ml)"/>
    <n v="1"/>
    <n v="99"/>
    <x v="0"/>
  </r>
  <r>
    <s v="CS-250419-0268"/>
    <x v="20"/>
    <x v="6"/>
    <x v="0"/>
    <x v="1"/>
    <s v="Seeraga samba mutton biryani"/>
    <n v="2"/>
    <n v="580"/>
    <x v="1"/>
  </r>
  <r>
    <s v="CS-250419-0288"/>
    <x v="20"/>
    <x v="6"/>
    <x v="0"/>
    <x v="1"/>
    <s v="Mutton kuzhambu (with bones)"/>
    <n v="1"/>
    <n v="480"/>
    <x v="1"/>
  </r>
  <r>
    <m/>
    <x v="1"/>
    <x v="1"/>
    <x v="3"/>
    <x v="2"/>
    <s v="Chicken 65"/>
    <n v="1"/>
    <m/>
    <x v="1"/>
  </r>
  <r>
    <s v="CS-250420-0006"/>
    <x v="20"/>
    <x v="6"/>
    <x v="0"/>
    <x v="1"/>
    <s v="Rice with prawn thokku"/>
    <n v="1"/>
    <n v="310"/>
    <x v="1"/>
  </r>
  <r>
    <m/>
    <x v="1"/>
    <x v="1"/>
    <x v="3"/>
    <x v="2"/>
    <s v="Ayala fish fry"/>
    <n v="1"/>
    <m/>
    <x v="1"/>
  </r>
  <r>
    <s v="CS-250420-0008"/>
    <x v="20"/>
    <x v="6"/>
    <x v="0"/>
    <x v="1"/>
    <s v="Mutton kuzhambu (with bones)"/>
    <n v="1"/>
    <n v="330"/>
    <x v="1"/>
  </r>
  <r>
    <s v="CS-250420-0012"/>
    <x v="20"/>
    <x v="6"/>
    <x v="0"/>
    <x v="1"/>
    <s v="Mutton kuzhambu (with bones)"/>
    <n v="1"/>
    <n v="330"/>
    <x v="1"/>
  </r>
  <r>
    <s v="CS-250420-0032"/>
    <x v="20"/>
    <x v="6"/>
    <x v="0"/>
    <x v="1"/>
    <s v="White Rice"/>
    <n v="2"/>
    <n v="160"/>
    <x v="0"/>
  </r>
  <r>
    <s v="CS-250420-0045"/>
    <x v="20"/>
    <x v="6"/>
    <x v="0"/>
    <x v="1"/>
    <s v="Mushroom Biryani(seeraga samba rice)"/>
    <n v="1"/>
    <n v="190"/>
    <x v="0"/>
  </r>
  <r>
    <s v="CS-250420-0090"/>
    <x v="20"/>
    <x v="6"/>
    <x v="0"/>
    <x v="1"/>
    <s v="Chicken Biryani"/>
    <n v="1"/>
    <n v="440"/>
    <x v="1"/>
  </r>
  <r>
    <m/>
    <x v="1"/>
    <x v="1"/>
    <x v="3"/>
    <x v="2"/>
    <s v="Egg podimas"/>
    <n v="1"/>
    <m/>
    <x v="1"/>
  </r>
  <r>
    <m/>
    <x v="1"/>
    <x v="1"/>
    <x v="3"/>
    <x v="2"/>
    <s v="Rice with prawn thokku"/>
    <n v="1"/>
    <m/>
    <x v="1"/>
  </r>
  <r>
    <s v="CS-250420-0097"/>
    <x v="20"/>
    <x v="6"/>
    <x v="0"/>
    <x v="1"/>
    <s v="Mutton kuzhambu (with bones)"/>
    <n v="1"/>
    <n v="330"/>
    <x v="1"/>
  </r>
  <r>
    <s v="CS-250420-0230"/>
    <x v="20"/>
    <x v="6"/>
    <x v="0"/>
    <x v="1"/>
    <s v="Mushroom Biryani(seeraga samba rice)"/>
    <n v="1"/>
    <n v="190"/>
    <x v="0"/>
  </r>
  <r>
    <s v="CS-250420-0295"/>
    <x v="21"/>
    <x v="7"/>
    <x v="0"/>
    <x v="0"/>
    <s v="Rice (750ml), Vendakkai kara kulambu (250ml), Beetroot poriyal(200ml), Rasam (100ml), Mor (100ml), Appalam, Pickle"/>
    <n v="1"/>
    <n v="129"/>
    <x v="0"/>
  </r>
  <r>
    <s v="CS-250420-0293"/>
    <x v="21"/>
    <x v="7"/>
    <x v="0"/>
    <x v="0"/>
    <s v="Ghee rice (500ml) with 100ml gravy"/>
    <n v="1"/>
    <n v="117"/>
    <x v="0"/>
  </r>
  <r>
    <s v="CS-250420-0301"/>
    <x v="21"/>
    <x v="7"/>
    <x v="2"/>
    <x v="0"/>
    <s v="Mini ghee podi idly (500ml) with chutney (250ml)"/>
    <n v="1"/>
    <n v="99"/>
    <x v="0"/>
  </r>
  <r>
    <s v="CS-250420-0302"/>
    <x v="21"/>
    <x v="7"/>
    <x v="1"/>
    <x v="0"/>
    <s v="Samba wheat kichadi(500l) with coconut chutney (100ml)"/>
    <n v="1"/>
    <n v="79"/>
    <x v="0"/>
  </r>
  <r>
    <s v="CS-250420-0307"/>
    <x v="21"/>
    <x v="7"/>
    <x v="1"/>
    <x v="0"/>
    <s v="Samba wheat kichadi(500l) with coconut chutney (100ml)"/>
    <n v="1"/>
    <n v="79"/>
    <x v="0"/>
  </r>
  <r>
    <s v="CS-250421-0157"/>
    <x v="22"/>
    <x v="0"/>
    <x v="2"/>
    <x v="0"/>
    <s v="Chapathi (4 pcs) with Mushroom gravy (250ml)"/>
    <n v="1"/>
    <n v="99"/>
    <x v="0"/>
  </r>
  <r>
    <s v="CS-250421-0162"/>
    <x v="22"/>
    <x v="0"/>
    <x v="1"/>
    <x v="0"/>
    <s v="Ragi idiyapam(4no.s) with white kurma(250ml)"/>
    <n v="1"/>
    <n v="99"/>
    <x v="0"/>
  </r>
  <r>
    <s v="CS-250421-0159"/>
    <x v="22"/>
    <x v="0"/>
    <x v="0"/>
    <x v="0"/>
    <s v="Rice (750ml), Mixed Vegetable sambar (250ml), Potato fry (200ml), Rasam (100ml), Mor (100ml), Appalam, Pickle"/>
    <n v="1"/>
    <n v="129"/>
    <x v="0"/>
  </r>
  <r>
    <s v="CS-250421-0188"/>
    <x v="22"/>
    <x v="0"/>
    <x v="2"/>
    <x v="0"/>
    <s v="Chapathi (4 pcs) with Mushroom gravy (250ml)"/>
    <n v="1"/>
    <n v="99"/>
    <x v="0"/>
  </r>
  <r>
    <s v="CS-250421-0175"/>
    <x v="22"/>
    <x v="0"/>
    <x v="0"/>
    <x v="0"/>
    <s v="Steamed rice (500ml), Dhal (250ml), Chicken 65 (100ml), Boiled egg (1 nos), Rasam (100ml)"/>
    <n v="1"/>
    <n v="129"/>
    <x v="1"/>
  </r>
  <r>
    <s v="CS-250421-0179"/>
    <x v="22"/>
    <x v="0"/>
    <x v="1"/>
    <x v="0"/>
    <s v="Ragi idiyapam(4no.s) with white kurma(250ml)"/>
    <n v="1"/>
    <n v="99"/>
    <x v="0"/>
  </r>
  <r>
    <s v="CS-250422-0055"/>
    <x v="22"/>
    <x v="0"/>
    <x v="0"/>
    <x v="1"/>
    <s v="Vegetable poriyal"/>
    <n v="1"/>
    <n v="65"/>
    <x v="0"/>
  </r>
  <r>
    <s v="CS-250422-0091"/>
    <x v="22"/>
    <x v="0"/>
    <x v="0"/>
    <x v="1"/>
    <s v="Organic Karuppu kavuni kanji"/>
    <n v="1"/>
    <n v="140"/>
    <x v="0"/>
  </r>
  <r>
    <s v="CS-250422-0111"/>
    <x v="22"/>
    <x v="0"/>
    <x v="0"/>
    <x v="1"/>
    <s v="Meen kuzhambu"/>
    <n v="1"/>
    <n v="410"/>
    <x v="1"/>
  </r>
  <r>
    <m/>
    <x v="1"/>
    <x v="1"/>
    <x v="3"/>
    <x v="2"/>
    <s v="Kavalai fish fry"/>
    <n v="1"/>
    <m/>
    <x v="1"/>
  </r>
  <r>
    <m/>
    <x v="1"/>
    <x v="1"/>
    <x v="3"/>
    <x v="2"/>
    <s v="Chicken 65"/>
    <n v="1"/>
    <m/>
    <x v="1"/>
  </r>
  <r>
    <s v="CS-250422-0113"/>
    <x v="22"/>
    <x v="0"/>
    <x v="0"/>
    <x v="1"/>
    <s v="Kavalai fish fry"/>
    <n v="2"/>
    <n v="260"/>
    <x v="1"/>
  </r>
  <r>
    <s v="CS-250422-0156"/>
    <x v="23"/>
    <x v="2"/>
    <x v="1"/>
    <x v="1"/>
    <s v="Chapathi with kurma"/>
    <n v="1"/>
    <n v="110"/>
    <x v="0"/>
  </r>
  <r>
    <s v="CS-250422-0174"/>
    <x v="23"/>
    <x v="2"/>
    <x v="0"/>
    <x v="0"/>
    <s v="Steamed rice (500ml), Fish gravy (250ml) with pcs, Rasam (100ml)"/>
    <n v="1"/>
    <n v="179"/>
    <x v="1"/>
  </r>
  <r>
    <s v="CS-250422-0181"/>
    <x v="23"/>
    <x v="2"/>
    <x v="1"/>
    <x v="0"/>
    <s v="Idly (4 pcs) with Fish kulambu (250ml)"/>
    <n v="1"/>
    <n v="112"/>
    <x v="1"/>
  </r>
  <r>
    <s v="CS-250422-0178"/>
    <x v="23"/>
    <x v="2"/>
    <x v="0"/>
    <x v="0"/>
    <s v="Steamed rice (500ml), Fish gravy (250ml) with pcs, Rasam (100ml)"/>
    <n v="1"/>
    <n v="179"/>
    <x v="1"/>
  </r>
  <r>
    <s v="CS-250422-0182"/>
    <x v="23"/>
    <x v="2"/>
    <x v="1"/>
    <x v="0"/>
    <s v="Pesarattu dosa(3no.s) with kaara chutney(250ml), Omelette (1 nos)"/>
    <n v="1"/>
    <n v="99"/>
    <x v="1"/>
  </r>
  <r>
    <s v="CS-250422-0183"/>
    <x v="23"/>
    <x v="2"/>
    <x v="2"/>
    <x v="0"/>
    <s v="Poori(4no.s) with chicken kuzhambu (250ml)"/>
    <n v="1"/>
    <n v="129"/>
    <x v="1"/>
  </r>
  <r>
    <s v="CS-250422-0184"/>
    <x v="23"/>
    <x v="2"/>
    <x v="0"/>
    <x v="0"/>
    <s v="Rice (750ml), Paruppu urundai kulambu (250ml), Keerai Poriyal (200ml), Rasam (100ml), Mor (100ml), Appalam, Pickle"/>
    <n v="1"/>
    <n v="129"/>
    <x v="0"/>
  </r>
  <r>
    <s v="CS-250422-0191"/>
    <x v="23"/>
    <x v="2"/>
    <x v="0"/>
    <x v="0"/>
    <s v="Rice (750ml), Paruppu urundai kulambu (250ml), Keerai Poriyal (200ml), Rasam (100ml), Mor (100ml), Appalam, Pickle"/>
    <n v="1"/>
    <n v="129"/>
    <x v="0"/>
  </r>
  <r>
    <s v="CS-250423-0055"/>
    <x v="23"/>
    <x v="2"/>
    <x v="0"/>
    <x v="1"/>
    <s v="Mutton kuzhambu (with bones)"/>
    <n v="1"/>
    <n v="330"/>
    <x v="1"/>
  </r>
  <r>
    <s v="CS-250423-0071"/>
    <x v="23"/>
    <x v="2"/>
    <x v="0"/>
    <x v="1"/>
    <s v="Chicken thokku"/>
    <n v="1"/>
    <n v="240"/>
    <x v="1"/>
  </r>
  <r>
    <m/>
    <x v="1"/>
    <x v="1"/>
    <x v="3"/>
    <x v="2"/>
    <s v="Keerai kootu"/>
    <n v="1"/>
    <m/>
    <x v="0"/>
  </r>
  <r>
    <s v="CS-250423-0090"/>
    <x v="23"/>
    <x v="2"/>
    <x v="0"/>
    <x v="1"/>
    <s v="Pepper prawn thokku"/>
    <n v="1"/>
    <n v="180"/>
    <x v="1"/>
  </r>
  <r>
    <s v="CS-250423-0115"/>
    <x v="23"/>
    <x v="2"/>
    <x v="0"/>
    <x v="1"/>
    <s v="Crab kurma "/>
    <n v="1"/>
    <n v="440"/>
    <x v="1"/>
  </r>
  <r>
    <m/>
    <x v="1"/>
    <x v="1"/>
    <x v="3"/>
    <x v="2"/>
    <s v="Mutton thokku"/>
    <n v="1"/>
    <m/>
    <x v="1"/>
  </r>
  <r>
    <s v="CS-250423-0191"/>
    <x v="24"/>
    <x v="3"/>
    <x v="1"/>
    <x v="0"/>
    <s v="Chicken fried rice (500ml) with sauce"/>
    <n v="1"/>
    <n v="149"/>
    <x v="1"/>
  </r>
  <r>
    <s v="CS-250423-0204"/>
    <x v="24"/>
    <x v="3"/>
    <x v="0"/>
    <x v="0"/>
    <s v="Rice (750ml), Tomato curry (250ml), vazhakkai varuval (200ml), Rasam (100ml), Mor (100ml), Appalam, Pickle"/>
    <n v="1"/>
    <n v="129"/>
    <x v="0"/>
  </r>
  <r>
    <s v="CS-250423-0210"/>
    <x v="24"/>
    <x v="3"/>
    <x v="0"/>
    <x v="0"/>
    <s v="Lemon rice (500ml) with egg pepper fry (2no.s)"/>
    <n v="1"/>
    <n v="99"/>
    <x v="1"/>
  </r>
  <r>
    <s v="CS-250423-0209"/>
    <x v="24"/>
    <x v="3"/>
    <x v="2"/>
    <x v="0"/>
    <s v="Egg dosa (1 no.s), Plain dosa (2 pcs) with sambar (250ml) qnd chutney (100ml)"/>
    <n v="1"/>
    <n v="117"/>
    <x v="1"/>
  </r>
  <r>
    <s v="CS-250423-0211"/>
    <x v="24"/>
    <x v="3"/>
    <x v="1"/>
    <x v="0"/>
    <s v="Chicken fried rice (500ml) with sauce"/>
    <n v="1"/>
    <n v="149"/>
    <x v="1"/>
  </r>
  <r>
    <s v="CS-250423-0234"/>
    <x v="24"/>
    <x v="3"/>
    <x v="0"/>
    <x v="0"/>
    <s v="Rice (750ml), Tomato curry (250ml), vazhakkai varuval (200ml), Rasam (100ml), Mor (100ml), Appalam, Pickle"/>
    <n v="1"/>
    <n v="129"/>
    <x v="0"/>
  </r>
  <r>
    <s v="CS-250423-0312"/>
    <x v="24"/>
    <x v="3"/>
    <x v="0"/>
    <x v="1"/>
    <s v="Ayala fish fry"/>
    <n v="1"/>
    <n v="140"/>
    <x v="1"/>
  </r>
  <r>
    <s v="CS-250424-0041"/>
    <x v="24"/>
    <x v="3"/>
    <x v="0"/>
    <x v="1"/>
    <s v="Potato thokku"/>
    <n v="2"/>
    <n v="260"/>
    <x v="0"/>
  </r>
  <r>
    <m/>
    <x v="1"/>
    <x v="1"/>
    <x v="3"/>
    <x v="2"/>
    <s v="Egg fry"/>
    <n v="2"/>
    <m/>
    <x v="1"/>
  </r>
  <r>
    <s v="CS-250424-0074"/>
    <x v="24"/>
    <x v="3"/>
    <x v="0"/>
    <x v="1"/>
    <s v="Rice with chicken gravy"/>
    <n v="1"/>
    <n v="170"/>
    <x v="1"/>
  </r>
  <r>
    <s v="CS-250424-0109"/>
    <x v="24"/>
    <x v="3"/>
    <x v="0"/>
    <x v="1"/>
    <s v="Pepper prawn thokku"/>
    <n v="1"/>
    <n v="180"/>
    <x v="1"/>
  </r>
  <r>
    <s v="CS-250424-0148"/>
    <x v="24"/>
    <x v="3"/>
    <x v="0"/>
    <x v="1"/>
    <s v="Potato thokku"/>
    <n v="1"/>
    <n v="290"/>
    <x v="0"/>
  </r>
  <r>
    <m/>
    <x v="1"/>
    <x v="1"/>
    <x v="3"/>
    <x v="2"/>
    <s v="Chicken thokku"/>
    <n v="1"/>
    <m/>
    <x v="1"/>
  </r>
  <r>
    <m/>
    <x v="1"/>
    <x v="1"/>
    <x v="3"/>
    <x v="2"/>
    <s v="Egg fry"/>
    <n v="1"/>
    <m/>
    <x v="1"/>
  </r>
  <r>
    <s v="CS-250424-0151"/>
    <x v="24"/>
    <x v="3"/>
    <x v="0"/>
    <x v="1"/>
    <s v="Keerai paruppu kadayal"/>
    <n v="1"/>
    <n v="350"/>
    <x v="0"/>
  </r>
  <r>
    <m/>
    <x v="1"/>
    <x v="1"/>
    <x v="3"/>
    <x v="2"/>
    <s v="Egg kurma"/>
    <n v="1"/>
    <m/>
    <x v="1"/>
  </r>
  <r>
    <m/>
    <x v="1"/>
    <x v="1"/>
    <x v="3"/>
    <x v="2"/>
    <s v="Chicken 65"/>
    <n v="1"/>
    <m/>
    <x v="1"/>
  </r>
  <r>
    <s v="CS-250424-0153"/>
    <x v="24"/>
    <x v="3"/>
    <x v="0"/>
    <x v="1"/>
    <s v="Mutton thokku"/>
    <n v="1"/>
    <n v="280"/>
    <x v="1"/>
  </r>
  <r>
    <s v="CS-250424-0205"/>
    <x v="25"/>
    <x v="4"/>
    <x v="2"/>
    <x v="0"/>
    <s v="Adai dosa (3 no.s) with kaara chutney (250ml)"/>
    <n v="1"/>
    <n v="99"/>
    <x v="0"/>
  </r>
  <r>
    <s v="CS-250424-0206"/>
    <x v="25"/>
    <x v="4"/>
    <x v="0"/>
    <x v="0"/>
    <s v="Steamed rice (500ml), Rasam (250ml), Chicken uppu kari(100ml)"/>
    <n v="1"/>
    <n v="129"/>
    <x v="1"/>
  </r>
  <r>
    <s v="CS-250424-0210"/>
    <x v="25"/>
    <x v="4"/>
    <x v="1"/>
    <x v="0"/>
    <s v="Appam (4 pcs) with Chicken stew (250ml)"/>
    <n v="1"/>
    <n v="129"/>
    <x v="1"/>
  </r>
  <r>
    <s v="CS-250424-0212"/>
    <x v="25"/>
    <x v="4"/>
    <x v="1"/>
    <x v="0"/>
    <s v="Idly (4 nos) with vada curry (250ml)"/>
    <n v="1"/>
    <n v="99"/>
    <x v="0"/>
  </r>
  <r>
    <s v="CS-250424-0247"/>
    <x v="25"/>
    <x v="4"/>
    <x v="0"/>
    <x v="0"/>
    <s v="Steamed rice (500ml), Rasam (250ml), Chicken uppu kari(100ml)"/>
    <n v="1"/>
    <n v="129"/>
    <x v="1"/>
  </r>
  <r>
    <s v="CS-250424-0246"/>
    <x v="25"/>
    <x v="4"/>
    <x v="1"/>
    <x v="0"/>
    <s v="Idly (4 nos) with vada curry (250ml)"/>
    <n v="1"/>
    <n v="99"/>
    <x v="0"/>
  </r>
  <r>
    <s v="CS-250425-0008"/>
    <x v="25"/>
    <x v="4"/>
    <x v="0"/>
    <x v="1"/>
    <s v="Mushroom Biryani(seeraga samba rice)"/>
    <n v="1"/>
    <n v="190"/>
    <x v="0"/>
  </r>
  <r>
    <s v="CS-250425-0178"/>
    <x v="26"/>
    <x v="5"/>
    <x v="0"/>
    <x v="0"/>
    <s v="Steamed Rice (500ml), Egg gravy with 2 eggs, Rasam (100ml), Appalam"/>
    <n v="1"/>
    <n v="149"/>
    <x v="1"/>
  </r>
  <r>
    <s v="CS-250425-0180"/>
    <x v="26"/>
    <x v="5"/>
    <x v="0"/>
    <x v="0"/>
    <s v="Steamed Rice (500ml), Egg gravy with 2 eggs, Rasam (100ml), Appalam"/>
    <n v="1"/>
    <n v="149"/>
    <x v="1"/>
  </r>
  <r>
    <s v="CS-250425-0186"/>
    <x v="26"/>
    <x v="5"/>
    <x v="2"/>
    <x v="0"/>
    <s v="Ven pongal(500ml) with sambar (250ml) and coconut chutney (100ml)"/>
    <n v="1"/>
    <n v="79"/>
    <x v="0"/>
  </r>
  <r>
    <s v="CS-250425-0188"/>
    <x v="26"/>
    <x v="5"/>
    <x v="1"/>
    <x v="0"/>
    <s v="Chicken kheema dosa (1 pcs), Kal dosa (1 pcs) with Chutney (250ml)"/>
    <n v="1"/>
    <n v="149"/>
    <x v="1"/>
  </r>
  <r>
    <s v="CS-250425-0190"/>
    <x v="26"/>
    <x v="5"/>
    <x v="1"/>
    <x v="0"/>
    <s v="Ragi dosa (4 no.s) with Sambar (250ml) and Chutney (100ml)"/>
    <n v="1"/>
    <n v="79"/>
    <x v="0"/>
  </r>
  <r>
    <s v="CS-250425-0193"/>
    <x v="26"/>
    <x v="5"/>
    <x v="0"/>
    <x v="0"/>
    <s v="Rice (750ml), Payaru Kulambu (250ml), Pudalangai kootu (200ml), Rasam (100ml), Mor (100ml), Appalam, Pickle"/>
    <n v="1"/>
    <n v="129"/>
    <x v="0"/>
  </r>
  <r>
    <s v="CS-250425-0210"/>
    <x v="26"/>
    <x v="5"/>
    <x v="0"/>
    <x v="0"/>
    <s v="Rice (750ml), Payaru Kulambu (250ml), Pudalangai kootu (200ml), Rasam (100ml), Mor (100ml), Appalam, Pickle"/>
    <n v="1"/>
    <n v="129"/>
    <x v="0"/>
  </r>
  <r>
    <s v="CS-250426-0030"/>
    <x v="26"/>
    <x v="5"/>
    <x v="0"/>
    <x v="1"/>
    <s v="Vazhakkai varuval"/>
    <n v="1"/>
    <n v="270"/>
    <x v="0"/>
  </r>
  <r>
    <m/>
    <x v="1"/>
    <x v="1"/>
    <x v="3"/>
    <x v="2"/>
    <s v="Vendakkai poriyal"/>
    <n v="1"/>
    <m/>
    <x v="0"/>
  </r>
  <r>
    <m/>
    <x v="1"/>
    <x v="1"/>
    <x v="3"/>
    <x v="2"/>
    <s v="Keerai paruppu kadayal"/>
    <n v="1"/>
    <m/>
    <x v="0"/>
  </r>
  <r>
    <s v="CS-250426-0063"/>
    <x v="26"/>
    <x v="5"/>
    <x v="0"/>
    <x v="1"/>
    <s v="Meen kuzhambu"/>
    <n v="1"/>
    <n v="460"/>
    <x v="1"/>
  </r>
  <r>
    <m/>
    <x v="1"/>
    <x v="1"/>
    <x v="3"/>
    <x v="2"/>
    <s v="Ayala fish fry"/>
    <n v="1"/>
    <m/>
    <x v="1"/>
  </r>
  <r>
    <m/>
    <x v="1"/>
    <x v="1"/>
    <x v="3"/>
    <x v="2"/>
    <s v="Chicken Biryani"/>
    <n v="1"/>
    <m/>
    <x v="1"/>
  </r>
  <r>
    <s v="CS-250426-0086"/>
    <x v="26"/>
    <x v="5"/>
    <x v="0"/>
    <x v="1"/>
    <s v="Vendakkai poriyal"/>
    <n v="1"/>
    <n v="475"/>
    <x v="0"/>
  </r>
  <r>
    <m/>
    <x v="1"/>
    <x v="1"/>
    <x v="3"/>
    <x v="2"/>
    <s v="Vegetable poriyal"/>
    <n v="1"/>
    <m/>
    <x v="0"/>
  </r>
  <r>
    <m/>
    <x v="1"/>
    <x v="1"/>
    <x v="3"/>
    <x v="2"/>
    <s v="Nethili karuvadu fry"/>
    <n v="1"/>
    <m/>
    <x v="1"/>
  </r>
  <r>
    <m/>
    <x v="1"/>
    <x v="1"/>
    <x v="3"/>
    <x v="2"/>
    <s v="Keerai kootu"/>
    <n v="2"/>
    <m/>
    <x v="0"/>
  </r>
  <r>
    <s v="CS-250426-0096"/>
    <x v="26"/>
    <x v="5"/>
    <x v="0"/>
    <x v="1"/>
    <s v="Rasam"/>
    <n v="1"/>
    <n v="140"/>
    <x v="0"/>
  </r>
  <r>
    <m/>
    <x v="1"/>
    <x v="1"/>
    <x v="3"/>
    <x v="2"/>
    <s v="Vatha kulambu"/>
    <n v="1"/>
    <m/>
    <x v="0"/>
  </r>
  <r>
    <s v="CS-250426-0124"/>
    <x v="26"/>
    <x v="5"/>
    <x v="0"/>
    <x v="1"/>
    <s v="Double Omelette"/>
    <n v="1"/>
    <n v="220"/>
    <x v="1"/>
  </r>
  <r>
    <m/>
    <x v="1"/>
    <x v="1"/>
    <x v="3"/>
    <x v="2"/>
    <s v="Crab kurma "/>
    <n v="1"/>
    <m/>
    <x v="1"/>
  </r>
  <r>
    <s v="CS-250426-0127"/>
    <x v="26"/>
    <x v="5"/>
    <x v="0"/>
    <x v="1"/>
    <s v="Mushroom Biryani(seeraga samba rice)"/>
    <n v="1"/>
    <n v="255"/>
    <x v="0"/>
  </r>
  <r>
    <m/>
    <x v="1"/>
    <x v="1"/>
    <x v="3"/>
    <x v="2"/>
    <s v="Vegetable poriyal"/>
    <n v="1"/>
    <m/>
    <x v="0"/>
  </r>
  <r>
    <s v="CS-250426-0187"/>
    <x v="26"/>
    <x v="5"/>
    <x v="0"/>
    <x v="1"/>
    <s v="Mutton thokku"/>
    <n v="1"/>
    <n v="360"/>
    <x v="1"/>
  </r>
  <r>
    <m/>
    <x v="1"/>
    <x v="1"/>
    <x v="3"/>
    <x v="2"/>
    <s v="Vazhakkai varuval"/>
    <n v="1"/>
    <m/>
    <x v="0"/>
  </r>
  <r>
    <s v="CS-250426-0219"/>
    <x v="27"/>
    <x v="6"/>
    <x v="0"/>
    <x v="1"/>
    <s v="Fish meals"/>
    <n v="1"/>
    <n v="190"/>
    <x v="1"/>
  </r>
  <r>
    <s v="CS-250426-0255"/>
    <x v="27"/>
    <x v="6"/>
    <x v="0"/>
    <x v="0"/>
    <s v="Appam (3 pcs) with Chicken gravy (250ml)"/>
    <n v="1"/>
    <n v="117"/>
    <x v="1"/>
  </r>
  <r>
    <s v="CS-250426-0258"/>
    <x v="27"/>
    <x v="6"/>
    <x v="0"/>
    <x v="0"/>
    <s v="Tomato rice(500ml), chicken 65 (100ml), raita (100ml)"/>
    <n v="1"/>
    <n v="129"/>
    <x v="1"/>
  </r>
  <r>
    <s v="CS-250426-0257"/>
    <x v="27"/>
    <x v="6"/>
    <x v="1"/>
    <x v="0"/>
    <s v="Chapathi (4 pcs) with Chicken curry (250ml)"/>
    <n v="1"/>
    <n v="129"/>
    <x v="1"/>
  </r>
  <r>
    <s v="CS-250426-0262"/>
    <x v="27"/>
    <x v="6"/>
    <x v="1"/>
    <x v="0"/>
    <s v="Chapathi (4 pcs) with Chicken curry (250ml)"/>
    <n v="1"/>
    <n v="129"/>
    <x v="1"/>
  </r>
  <r>
    <s v="CS-250426-0300"/>
    <x v="27"/>
    <x v="6"/>
    <x v="0"/>
    <x v="1"/>
    <s v="Chicken 65"/>
    <n v="1"/>
    <n v="340"/>
    <x v="1"/>
  </r>
  <r>
    <m/>
    <x v="1"/>
    <x v="1"/>
    <x v="3"/>
    <x v="2"/>
    <s v="Chicken Biryani"/>
    <n v="1"/>
    <m/>
    <x v="1"/>
  </r>
  <r>
    <s v="CS-250426-0302"/>
    <x v="27"/>
    <x v="6"/>
    <x v="0"/>
    <x v="1"/>
    <s v="Vendakkai poriyal"/>
    <n v="1"/>
    <n v="290"/>
    <x v="0"/>
  </r>
  <r>
    <m/>
    <x v="1"/>
    <x v="1"/>
    <x v="3"/>
    <x v="2"/>
    <s v="Ghee mini sambar idly"/>
    <n v="1"/>
    <m/>
    <x v="0"/>
  </r>
  <r>
    <m/>
    <x v="1"/>
    <x v="1"/>
    <x v="3"/>
    <x v="2"/>
    <s v="Appam with thengai paal"/>
    <n v="1"/>
    <m/>
    <x v="0"/>
  </r>
  <r>
    <s v="CS-250427-0063"/>
    <x v="27"/>
    <x v="6"/>
    <x v="0"/>
    <x v="1"/>
    <s v="Rice with sambar and poriyal"/>
    <n v="1"/>
    <n v="275"/>
    <x v="0"/>
  </r>
  <r>
    <m/>
    <x v="1"/>
    <x v="1"/>
    <x v="3"/>
    <x v="2"/>
    <s v="Pepper chicken"/>
    <n v="1"/>
    <m/>
    <x v="1"/>
  </r>
  <r>
    <s v="CS-250427-0097"/>
    <x v="27"/>
    <x v="6"/>
    <x v="0"/>
    <x v="1"/>
    <s v="Seeraga samba mutton biryani"/>
    <n v="2"/>
    <n v="770"/>
    <x v="1"/>
  </r>
  <r>
    <m/>
    <x v="1"/>
    <x v="1"/>
    <x v="3"/>
    <x v="2"/>
    <s v="Chicken Biryani"/>
    <n v="1"/>
    <m/>
    <x v="1"/>
  </r>
  <r>
    <s v="CS-250427-0148"/>
    <x v="27"/>
    <x v="6"/>
    <x v="0"/>
    <x v="1"/>
    <s v="Nethili karuvadu fry"/>
    <n v="1"/>
    <n v="300"/>
    <x v="1"/>
  </r>
  <r>
    <m/>
    <x v="1"/>
    <x v="1"/>
    <x v="3"/>
    <x v="2"/>
    <s v="Keerai paruppu kadayal"/>
    <n v="1"/>
    <m/>
    <x v="0"/>
  </r>
  <r>
    <s v="CS-250427-0208"/>
    <x v="27"/>
    <x v="6"/>
    <x v="0"/>
    <x v="1"/>
    <s v="Karuvadu thokku"/>
    <n v="1"/>
    <n v="255"/>
    <x v="1"/>
  </r>
  <r>
    <m/>
    <x v="1"/>
    <x v="1"/>
    <x v="3"/>
    <x v="2"/>
    <s v="Sambar"/>
    <n v="1"/>
    <m/>
    <x v="0"/>
  </r>
  <r>
    <s v="CS-250427-0279"/>
    <x v="28"/>
    <x v="7"/>
    <x v="2"/>
    <x v="0"/>
    <s v="Mini ghee podi idly (500ml) with chutney (250ml)"/>
    <n v="1"/>
    <n v="99"/>
    <x v="0"/>
  </r>
  <r>
    <s v="CS-250427-0285"/>
    <x v="28"/>
    <x v="7"/>
    <x v="0"/>
    <x v="0"/>
    <s v="Ghee rice (500ml) with 100ml gravy"/>
    <n v="1"/>
    <n v="117"/>
    <x v="0"/>
  </r>
  <r>
    <s v="CS-250427-0294"/>
    <x v="28"/>
    <x v="7"/>
    <x v="1"/>
    <x v="0"/>
    <s v="Dosa (3no.s) with pepper chicken curry(250ml)"/>
    <n v="1"/>
    <n v="117"/>
    <x v="1"/>
  </r>
  <r>
    <s v="CS-250427-0292"/>
    <x v="28"/>
    <x v="7"/>
    <x v="0"/>
    <x v="0"/>
    <s v="Rice (750ml), Vendakkai kara kulambu (250ml), Beetroot poriyal(200ml), Rasam (100ml), Mor (100ml), Appalam, Pickle"/>
    <n v="1"/>
    <n v="129"/>
    <x v="0"/>
  </r>
  <r>
    <s v="CS-250427-0300"/>
    <x v="28"/>
    <x v="7"/>
    <x v="1"/>
    <x v="0"/>
    <s v="Samba wheat kichadi(500l) with coconut chutney (100ml)"/>
    <n v="1"/>
    <n v="79"/>
    <x v="0"/>
  </r>
  <r>
    <s v="CS-250427-0320"/>
    <x v="28"/>
    <x v="7"/>
    <x v="0"/>
    <x v="0"/>
    <s v="Rice (750ml), Vendakkai kara kulambu (250ml), Beetroot poriyal(200ml), Rasam (100ml), Mor (100ml), Appalam, Pickle"/>
    <n v="1"/>
    <n v="129"/>
    <x v="0"/>
  </r>
  <r>
    <s v="CS-250427-0325"/>
    <x v="28"/>
    <x v="7"/>
    <x v="0"/>
    <x v="0"/>
    <s v="Ghee rice (500ml) with 100ml gravy"/>
    <n v="1"/>
    <n v="117"/>
    <x v="0"/>
  </r>
  <r>
    <s v="CS-250427-0288"/>
    <x v="28"/>
    <x v="7"/>
    <x v="0"/>
    <x v="0"/>
    <s v="Rice (500ml), Vendakkai kara kulambu (250ml), Beetroot poriyal (100ml)"/>
    <n v="1"/>
    <n v="129"/>
    <x v="0"/>
  </r>
  <r>
    <s v="CS-250428-0037"/>
    <x v="28"/>
    <x v="7"/>
    <x v="0"/>
    <x v="1"/>
    <s v="Mor kuzhambu"/>
    <n v="1"/>
    <n v="155"/>
    <x v="0"/>
  </r>
  <r>
    <m/>
    <x v="1"/>
    <x v="1"/>
    <x v="3"/>
    <x v="2"/>
    <s v="Vazhakkai varuval"/>
    <n v="1"/>
    <m/>
    <x v="0"/>
  </r>
  <r>
    <s v="CS-250428-0050"/>
    <x v="28"/>
    <x v="7"/>
    <x v="0"/>
    <x v="1"/>
    <s v="Rice with chicken gravy"/>
    <n v="1"/>
    <n v="170"/>
    <x v="1"/>
  </r>
  <r>
    <s v="CS-250428-0063"/>
    <x v="28"/>
    <x v="7"/>
    <x v="0"/>
    <x v="1"/>
    <s v="Chicken family combo"/>
    <n v="1"/>
    <n v="699"/>
    <x v="1"/>
  </r>
  <r>
    <s v="CS-250428-0064"/>
    <x v="28"/>
    <x v="7"/>
    <x v="0"/>
    <x v="1"/>
    <s v="Chicken 65"/>
    <n v="1"/>
    <n v="530"/>
    <x v="1"/>
  </r>
  <r>
    <m/>
    <x v="1"/>
    <x v="1"/>
    <x v="3"/>
    <x v="2"/>
    <s v="Pepper chicken"/>
    <n v="1"/>
    <m/>
    <x v="1"/>
  </r>
  <r>
    <m/>
    <x v="1"/>
    <x v="1"/>
    <x v="3"/>
    <x v="2"/>
    <s v="Chicken kuzhambu"/>
    <n v="1"/>
    <m/>
    <x v="1"/>
  </r>
  <r>
    <s v="CS-250428-0095"/>
    <x v="28"/>
    <x v="7"/>
    <x v="0"/>
    <x v="1"/>
    <s v="Keerai paruppu kadayal"/>
    <n v="1"/>
    <n v="220"/>
    <x v="0"/>
  </r>
  <r>
    <m/>
    <x v="1"/>
    <x v="1"/>
    <x v="3"/>
    <x v="2"/>
    <s v="Vepampoo rasam"/>
    <n v="1"/>
    <m/>
    <x v="0"/>
  </r>
  <r>
    <s v="CS-250428-0178"/>
    <x v="29"/>
    <x v="0"/>
    <x v="0"/>
    <x v="0"/>
    <s v="Rice (750ml), Mixed Vegetable sambar (250ml), Potato fry (200ml), Rasam (100ml), Mor (100ml), Appalam, Pickle"/>
    <n v="1"/>
    <n v="129"/>
    <x v="0"/>
  </r>
  <r>
    <s v="CS-250428-0181"/>
    <x v="29"/>
    <x v="0"/>
    <x v="1"/>
    <x v="0"/>
    <s v="Egg kothu chappathi(500ml) with gravy (100ml)"/>
    <n v="1"/>
    <n v="117"/>
    <x v="1"/>
  </r>
  <r>
    <s v="CS-250428-0184"/>
    <x v="29"/>
    <x v="0"/>
    <x v="0"/>
    <x v="0"/>
    <s v="Steamed rice (500ml), Dhal (250ml), Chicken 65 (100ml), Boiled egg (1 nos), Rasam (100ml)"/>
    <n v="1"/>
    <n v="129"/>
    <x v="1"/>
  </r>
  <r>
    <s v="CS-250428-0182"/>
    <x v="29"/>
    <x v="0"/>
    <x v="1"/>
    <x v="0"/>
    <s v="Ragi idiyapam(4no.s) with white kurma(250ml)"/>
    <n v="1"/>
    <n v="99"/>
    <x v="0"/>
  </r>
  <r>
    <s v="CS-250428-0190"/>
    <x v="29"/>
    <x v="0"/>
    <x v="2"/>
    <x v="0"/>
    <s v="Chapathi (4 pcs) with Mushroom gravy (250ml)"/>
    <n v="1"/>
    <n v="99"/>
    <x v="0"/>
  </r>
  <r>
    <s v="CS-250428-0201"/>
    <x v="29"/>
    <x v="0"/>
    <x v="0"/>
    <x v="0"/>
    <s v="Rice (750ml), Mixed Vegetable sambar (250ml), Potato fry (200ml), Rasam (100ml), Mor (100ml), Appalam, Pickle"/>
    <n v="1"/>
    <n v="129"/>
    <x v="0"/>
  </r>
  <r>
    <s v="CS-250428-0197"/>
    <x v="29"/>
    <x v="0"/>
    <x v="1"/>
    <x v="0"/>
    <s v="Ragi idiyapam(4no.s) with white kurma(250ml)"/>
    <n v="1"/>
    <n v="99"/>
    <x v="0"/>
  </r>
  <r>
    <s v="CS-250428-0221"/>
    <x v="29"/>
    <x v="0"/>
    <x v="0"/>
    <x v="0"/>
    <s v="Rice (500ml), Mixed vegetable sambar (250ml), Potato fry (100ml)"/>
    <n v="2"/>
    <n v="129"/>
    <x v="0"/>
  </r>
  <r>
    <s v="CS-250428-0262"/>
    <x v="29"/>
    <x v="0"/>
    <x v="0"/>
    <x v="1"/>
    <s v="Vatha kulambu"/>
    <n v="1"/>
    <n v="315"/>
    <x v="0"/>
  </r>
  <r>
    <m/>
    <x v="1"/>
    <x v="1"/>
    <x v="3"/>
    <x v="2"/>
    <s v="Keerai kootu"/>
    <n v="1"/>
    <m/>
    <x v="0"/>
  </r>
  <r>
    <m/>
    <x v="1"/>
    <x v="1"/>
    <x v="3"/>
    <x v="2"/>
    <s v="Vepampoo rasam"/>
    <n v="1"/>
    <m/>
    <x v="0"/>
  </r>
  <r>
    <m/>
    <x v="1"/>
    <x v="1"/>
    <x v="3"/>
    <x v="2"/>
    <s v="Egg fry"/>
    <n v="1"/>
    <m/>
    <x v="1"/>
  </r>
  <r>
    <s v="CS-250429-0041"/>
    <x v="29"/>
    <x v="0"/>
    <x v="0"/>
    <x v="1"/>
    <s v="Sambar"/>
    <n v="1"/>
    <n v="145"/>
    <x v="0"/>
  </r>
  <r>
    <m/>
    <x v="1"/>
    <x v="1"/>
    <x v="3"/>
    <x v="2"/>
    <s v="Vazhakkai varuval"/>
    <n v="1"/>
    <m/>
    <x v="0"/>
  </r>
  <r>
    <s v="CS-250429-0061"/>
    <x v="29"/>
    <x v="0"/>
    <x v="0"/>
    <x v="1"/>
    <s v="Chicken Biryani"/>
    <n v="1"/>
    <n v="380"/>
    <x v="1"/>
  </r>
  <r>
    <m/>
    <x v="1"/>
    <x v="1"/>
    <x v="3"/>
    <x v="2"/>
    <s v="Mushroom Biryani (Basmati Rice)"/>
    <n v="1"/>
    <m/>
    <x v="0"/>
  </r>
  <r>
    <s v="CS-250429-0071"/>
    <x v="29"/>
    <x v="0"/>
    <x v="0"/>
    <x v="1"/>
    <s v="Keerai paruppu kadayal"/>
    <n v="1"/>
    <n v="190"/>
    <x v="0"/>
  </r>
  <r>
    <m/>
    <x v="1"/>
    <x v="1"/>
    <x v="3"/>
    <x v="2"/>
    <s v="Vendakkai kara kozhambu"/>
    <n v="1"/>
    <m/>
    <x v="0"/>
  </r>
  <r>
    <s v="CS-250429-0109"/>
    <x v="29"/>
    <x v="0"/>
    <x v="0"/>
    <x v="1"/>
    <s v="Chicken Biryani"/>
    <n v="1"/>
    <n v="430"/>
    <x v="1"/>
  </r>
  <r>
    <m/>
    <x v="1"/>
    <x v="1"/>
    <x v="3"/>
    <x v="2"/>
    <s v="Curd rice with potato thokku"/>
    <n v="1"/>
    <m/>
    <x v="0"/>
  </r>
  <r>
    <m/>
    <x v="1"/>
    <x v="1"/>
    <x v="3"/>
    <x v="2"/>
    <s v="Chicken thokku"/>
    <n v="1"/>
    <m/>
    <x v="1"/>
  </r>
  <r>
    <s v="CS-250430-0198"/>
    <x v="30"/>
    <x v="3"/>
    <x v="0"/>
    <x v="0"/>
    <s v="Lemon rice (500ml) with egg pepper fry (2no.s)"/>
    <n v="1"/>
    <n v="99"/>
    <x v="1"/>
  </r>
  <r>
    <s v="CS-250430-0199"/>
    <x v="30"/>
    <x v="3"/>
    <x v="1"/>
    <x v="0"/>
    <s v="Chicken fried rice (500ml) with sauce"/>
    <n v="1"/>
    <n v="149"/>
    <x v="1"/>
  </r>
  <r>
    <s v="CS-250430-0201"/>
    <x v="30"/>
    <x v="3"/>
    <x v="2"/>
    <x v="0"/>
    <s v="Egg dosa (1 no.s), Plain dosa (2 pcs) with sambar (250ml) qnd chutney (100ml)"/>
    <n v="1"/>
    <n v="117"/>
    <x v="1"/>
  </r>
  <r>
    <s v="CS-250430-0211"/>
    <x v="30"/>
    <x v="3"/>
    <x v="0"/>
    <x v="0"/>
    <s v="Rice (750ml), Tomato curry (250ml), vazhakkai varuval (200ml), Rasam (100ml), Mor (100ml), Appalam, Pickle"/>
    <n v="1"/>
    <n v="129"/>
    <x v="0"/>
  </r>
  <r>
    <s v="CS-250430-0212"/>
    <x v="30"/>
    <x v="3"/>
    <x v="0"/>
    <x v="0"/>
    <s v="Rice (500ml), Tomato curry (250ml), vazhakkai varuval (100ml)"/>
    <n v="2"/>
    <n v="129"/>
    <x v="0"/>
  </r>
  <r>
    <s v="CS-250430-0210"/>
    <x v="30"/>
    <x v="3"/>
    <x v="0"/>
    <x v="0"/>
    <s v="Rice (750ml), Tomato curry (250ml), vazhakkai varuval (200ml), Rasam (100ml), Mor (100ml), Appalam, Pickle"/>
    <n v="1"/>
    <n v="129"/>
    <x v="1"/>
  </r>
  <r>
    <s v="CS-250430-0227"/>
    <x v="30"/>
    <x v="3"/>
    <x v="1"/>
    <x v="0"/>
    <s v="Chicken fried rice (500ml) with sauce"/>
    <n v="1"/>
    <n v="149"/>
    <x v="1"/>
  </r>
  <r>
    <s v="CS-250430-0291"/>
    <x v="30"/>
    <x v="3"/>
    <x v="0"/>
    <x v="1"/>
    <s v="Meen kuzhambu"/>
    <n v="2"/>
    <n v="420"/>
    <x v="1"/>
  </r>
  <r>
    <m/>
    <x v="1"/>
    <x v="1"/>
    <x v="3"/>
    <x v="2"/>
    <s v="Curd rice with potato thokku"/>
    <n v="2"/>
    <m/>
    <x v="0"/>
  </r>
  <r>
    <s v="CS-250430-0308"/>
    <x v="30"/>
    <x v="3"/>
    <x v="0"/>
    <x v="1"/>
    <s v="Mor kuzhambu"/>
    <n v="1"/>
    <n v="220"/>
    <x v="0"/>
  </r>
  <r>
    <m/>
    <x v="1"/>
    <x v="1"/>
    <x v="3"/>
    <x v="2"/>
    <s v="Vazhakkai varuval"/>
    <n v="1"/>
    <m/>
    <x v="0"/>
  </r>
  <r>
    <m/>
    <x v="1"/>
    <x v="1"/>
    <x v="3"/>
    <x v="2"/>
    <s v="Vegetable poriyal"/>
    <n v="1"/>
    <m/>
    <x v="0"/>
  </r>
  <r>
    <s v="CS-250501-0008"/>
    <x v="30"/>
    <x v="3"/>
    <x v="0"/>
    <x v="1"/>
    <s v="Egg podimas"/>
    <n v="1"/>
    <n v="410"/>
    <x v="1"/>
  </r>
  <r>
    <m/>
    <x v="1"/>
    <x v="1"/>
    <x v="3"/>
    <x v="2"/>
    <s v="Keerai paruppu kadayal"/>
    <n v="1"/>
    <m/>
    <x v="0"/>
  </r>
  <r>
    <m/>
    <x v="1"/>
    <x v="1"/>
    <x v="3"/>
    <x v="2"/>
    <s v="White Rice"/>
    <n v="1"/>
    <m/>
    <x v="0"/>
  </r>
  <r>
    <m/>
    <x v="1"/>
    <x v="1"/>
    <x v="3"/>
    <x v="2"/>
    <s v="Vegetable kootu"/>
    <n v="1"/>
    <m/>
    <x v="0"/>
  </r>
  <r>
    <m/>
    <x v="1"/>
    <x v="1"/>
    <x v="3"/>
    <x v="2"/>
    <s v="Rasam"/>
    <n v="1"/>
    <m/>
    <x v="0"/>
  </r>
  <r>
    <s v="CS-250501-0047"/>
    <x v="30"/>
    <x v="3"/>
    <x v="0"/>
    <x v="1"/>
    <s v="Chicken thokku"/>
    <n v="1"/>
    <n v="350"/>
    <x v="1"/>
  </r>
  <r>
    <m/>
    <x v="1"/>
    <x v="1"/>
    <x v="3"/>
    <x v="2"/>
    <s v="Chicken Biryani"/>
    <n v="1"/>
    <m/>
    <x v="1"/>
  </r>
  <r>
    <s v="CS-250501-0099"/>
    <x v="30"/>
    <x v="3"/>
    <x v="0"/>
    <x v="1"/>
    <s v="Kavalai fish fry"/>
    <n v="1"/>
    <n v="510"/>
    <x v="1"/>
  </r>
  <r>
    <m/>
    <x v="1"/>
    <x v="1"/>
    <x v="3"/>
    <x v="2"/>
    <s v="Chicken Biryani"/>
    <n v="1"/>
    <m/>
    <x v="1"/>
  </r>
  <r>
    <m/>
    <x v="1"/>
    <x v="1"/>
    <x v="3"/>
    <x v="2"/>
    <s v="Mushroom Biryani(seeraga samba rice)"/>
    <n v="1"/>
    <m/>
    <x v="0"/>
  </r>
  <r>
    <s v="CS-250501-0107"/>
    <x v="30"/>
    <x v="3"/>
    <x v="0"/>
    <x v="1"/>
    <s v="Egg kurma"/>
    <n v="1"/>
    <n v="505"/>
    <x v="1"/>
  </r>
  <r>
    <m/>
    <x v="1"/>
    <x v="1"/>
    <x v="3"/>
    <x v="2"/>
    <s v="Rice with prawn thokku"/>
    <n v="1"/>
    <m/>
    <x v="1"/>
  </r>
  <r>
    <m/>
    <x v="1"/>
    <x v="1"/>
    <x v="3"/>
    <x v="2"/>
    <s v="Chicken thokku"/>
    <n v="1"/>
    <m/>
    <x v="1"/>
  </r>
  <r>
    <m/>
    <x v="1"/>
    <x v="1"/>
    <x v="3"/>
    <x v="2"/>
    <s v="Rice with sambar and poriyal"/>
    <n v="1"/>
    <m/>
    <x v="0"/>
  </r>
  <r>
    <s v="CS-250501-0151"/>
    <x v="30"/>
    <x v="3"/>
    <x v="0"/>
    <x v="1"/>
    <s v="Rice with prawn thokku"/>
    <n v="2"/>
    <n v="340"/>
    <x v="1"/>
  </r>
  <r>
    <s v="CS-250501-0154"/>
    <x v="30"/>
    <x v="3"/>
    <x v="0"/>
    <x v="1"/>
    <s v="Dry fish meals"/>
    <n v="1"/>
    <n v="170"/>
    <x v="1"/>
  </r>
  <r>
    <s v="CS-250501-0248"/>
    <x v="31"/>
    <x v="4"/>
    <x v="2"/>
    <x v="0"/>
    <s v="Adai dosa (3 no.s) with kaara chutney (250ml)"/>
    <n v="1"/>
    <n v="99"/>
    <x v="0"/>
  </r>
  <r>
    <s v="CS-250501-0249"/>
    <x v="31"/>
    <x v="4"/>
    <x v="1"/>
    <x v="0"/>
    <s v="Idly (4 nos) with vada curry (250ml)"/>
    <n v="2"/>
    <n v="198"/>
    <x v="0"/>
  </r>
  <r>
    <s v="CS-250501-0259"/>
    <x v="31"/>
    <x v="4"/>
    <x v="0"/>
    <x v="0"/>
    <s v="Keerai Sadham (500ml) with poriyal (100 ml), Fryums"/>
    <n v="2"/>
    <n v="99"/>
    <x v="0"/>
  </r>
  <r>
    <s v="CS-250501-0266"/>
    <x v="31"/>
    <x v="4"/>
    <x v="0"/>
    <x v="0"/>
    <s v="Steamed rice (500ml), Rasam (250ml), Chicken uppu kari(100ml)"/>
    <n v="1"/>
    <n v="129"/>
    <x v="1"/>
  </r>
  <r>
    <s v="CS-250501-0274"/>
    <x v="31"/>
    <x v="4"/>
    <x v="1"/>
    <x v="0"/>
    <s v="Appam (4 pcs) with Chicken stew (250ml)"/>
    <n v="1"/>
    <n v="129"/>
    <x v="1"/>
  </r>
  <r>
    <s v="CS-250501-0289"/>
    <x v="31"/>
    <x v="4"/>
    <x v="1"/>
    <x v="0"/>
    <s v="Idly (4 nos) with vada curry (250ml)"/>
    <n v="1"/>
    <n v="99"/>
    <x v="0"/>
  </r>
  <r>
    <s v="CS-250502-0015"/>
    <x v="31"/>
    <x v="4"/>
    <x v="0"/>
    <x v="1"/>
    <s v="Paruppu Nei"/>
    <n v="1"/>
    <n v="250"/>
    <x v="0"/>
  </r>
  <r>
    <m/>
    <x v="1"/>
    <x v="1"/>
    <x v="3"/>
    <x v="2"/>
    <s v="White Rice"/>
    <n v="1"/>
    <m/>
    <x v="0"/>
  </r>
  <r>
    <m/>
    <x v="1"/>
    <x v="1"/>
    <x v="3"/>
    <x v="2"/>
    <s v="Egg podimas"/>
    <n v="1"/>
    <m/>
    <x v="1"/>
  </r>
  <r>
    <s v="CS-250502-0060"/>
    <x v="31"/>
    <x v="4"/>
    <x v="0"/>
    <x v="1"/>
    <s v="Chicken thokku"/>
    <n v="1"/>
    <n v="310"/>
    <x v="1"/>
  </r>
  <r>
    <m/>
    <x v="1"/>
    <x v="1"/>
    <x v="3"/>
    <x v="2"/>
    <s v="Chicken 65"/>
    <n v="1"/>
    <m/>
    <x v="1"/>
  </r>
  <r>
    <s v="CS-250502-0061"/>
    <x v="31"/>
    <x v="4"/>
    <x v="0"/>
    <x v="1"/>
    <s v="Curd rice with potato thokku"/>
    <n v="1"/>
    <n v="200"/>
    <x v="0"/>
  </r>
  <r>
    <m/>
    <x v="1"/>
    <x v="1"/>
    <x v="3"/>
    <x v="2"/>
    <s v="Tamarind rice with egg fry"/>
    <n v="1"/>
    <m/>
    <x v="1"/>
  </r>
  <r>
    <s v="CS-250502-0064"/>
    <x v="31"/>
    <x v="4"/>
    <x v="0"/>
    <x v="1"/>
    <s v="Karuvadu thokku"/>
    <n v="1"/>
    <n v="190"/>
    <x v="1"/>
  </r>
  <r>
    <s v="CS-250502-0101"/>
    <x v="31"/>
    <x v="4"/>
    <x v="0"/>
    <x v="1"/>
    <s v="Egg kurma"/>
    <n v="1"/>
    <n v="190"/>
    <x v="1"/>
  </r>
  <r>
    <m/>
    <x v="1"/>
    <x v="1"/>
    <x v="3"/>
    <x v="2"/>
    <s v="Rice with Rasam and egg fry"/>
    <n v="1"/>
    <m/>
    <x v="1"/>
  </r>
  <r>
    <s v="CS-250502-0104"/>
    <x v="31"/>
    <x v="4"/>
    <x v="0"/>
    <x v="1"/>
    <s v="Keerai paruppu kadayal"/>
    <n v="1"/>
    <n v="270"/>
    <x v="0"/>
  </r>
  <r>
    <m/>
    <x v="1"/>
    <x v="1"/>
    <x v="3"/>
    <x v="2"/>
    <s v="White Rice"/>
    <n v="1"/>
    <m/>
    <x v="0"/>
  </r>
  <r>
    <m/>
    <x v="1"/>
    <x v="1"/>
    <x v="3"/>
    <x v="2"/>
    <s v="Potato thokku"/>
    <n v="1"/>
    <m/>
    <x v="0"/>
  </r>
  <r>
    <s v="CS-250502-0108"/>
    <x v="31"/>
    <x v="4"/>
    <x v="0"/>
    <x v="1"/>
    <s v="Chicken 65"/>
    <n v="1"/>
    <n v="310"/>
    <x v="1"/>
  </r>
  <r>
    <m/>
    <x v="1"/>
    <x v="1"/>
    <x v="3"/>
    <x v="2"/>
    <s v="Chicken thokku"/>
    <n v="1"/>
    <m/>
    <x v="1"/>
  </r>
  <r>
    <s v="CS-250502-0124"/>
    <x v="31"/>
    <x v="4"/>
    <x v="0"/>
    <x v="1"/>
    <s v="Keerai paruppu kadayal"/>
    <n v="1"/>
    <n v="405"/>
    <x v="0"/>
  </r>
  <r>
    <m/>
    <x v="1"/>
    <x v="1"/>
    <x v="3"/>
    <x v="2"/>
    <s v="Vatha kulambu"/>
    <n v="1"/>
    <m/>
    <x v="0"/>
  </r>
  <r>
    <m/>
    <x v="1"/>
    <x v="1"/>
    <x v="3"/>
    <x v="2"/>
    <s v="Vazhakkai varuval"/>
    <n v="1"/>
    <m/>
    <x v="0"/>
  </r>
  <r>
    <m/>
    <x v="1"/>
    <x v="1"/>
    <x v="3"/>
    <x v="2"/>
    <s v="Paruppu thakkali kadayal"/>
    <n v="1"/>
    <m/>
    <x v="0"/>
  </r>
  <r>
    <m/>
    <x v="1"/>
    <x v="1"/>
    <x v="3"/>
    <x v="2"/>
    <s v="Vendakkai poriyal"/>
    <n v="1"/>
    <m/>
    <x v="0"/>
  </r>
  <r>
    <s v="CS-250502-0131"/>
    <x v="31"/>
    <x v="4"/>
    <x v="0"/>
    <x v="1"/>
    <s v="Rice with chicken gravy"/>
    <n v="1"/>
    <n v="170"/>
    <x v="1"/>
  </r>
  <r>
    <s v="CS-250502-0249"/>
    <x v="32"/>
    <x v="5"/>
    <x v="1"/>
    <x v="0"/>
    <s v="Chicken kheema dosa (1 pcs), Kal dosa (1 pcs) with Chutney (250ml)"/>
    <n v="1"/>
    <n v="149"/>
    <x v="1"/>
  </r>
  <r>
    <s v="CS-250502-0254"/>
    <x v="32"/>
    <x v="5"/>
    <x v="0"/>
    <x v="0"/>
    <s v="Rice (500ml), Payaru kulambu (250ml), Pudulangai kootu (100ml)"/>
    <n v="2"/>
    <n v="129"/>
    <x v="0"/>
  </r>
  <r>
    <s v="CS-250503-0071"/>
    <x v="33"/>
    <x v="6"/>
    <x v="0"/>
    <x v="1"/>
    <s v="Mutton thokku"/>
    <n v="1"/>
    <n v="280"/>
    <x v="1"/>
  </r>
  <r>
    <s v="CS-250504-0296"/>
    <x v="34"/>
    <x v="7"/>
    <x v="0"/>
    <x v="0"/>
    <s v="Rice (750ml), Vendakkai kara kulambu (250ml), Beetroot poriyal(200ml), Rasam (100ml), Mor (100ml), Appalam, Pickle"/>
    <n v="1"/>
    <n v="129"/>
    <x v="0"/>
  </r>
  <r>
    <s v="CS-250505-0136"/>
    <x v="34"/>
    <x v="7"/>
    <x v="0"/>
    <x v="1"/>
    <s v="White veg pulav (Basmathi rice)"/>
    <n v="1"/>
    <n v="160"/>
    <x v="0"/>
  </r>
  <r>
    <s v="CS-250505-0248"/>
    <x v="35"/>
    <x v="0"/>
    <x v="0"/>
    <x v="0"/>
    <s v="Rice (750ml), Mixed Vegetable sambar (250ml), Potato fry (200ml), Rasam (100ml), Mor (100ml), Appalam, Pickle"/>
    <n v="1"/>
    <n v="129"/>
    <x v="0"/>
  </r>
  <r>
    <s v="CS-250506-0040"/>
    <x v="35"/>
    <x v="0"/>
    <x v="0"/>
    <x v="1"/>
    <s v="Chicken Biryani"/>
    <n v="1"/>
    <n v="190"/>
    <x v="1"/>
  </r>
  <r>
    <s v="CS-250506-0058"/>
    <x v="35"/>
    <x v="0"/>
    <x v="0"/>
    <x v="1"/>
    <s v="White Rice"/>
    <n v="1"/>
    <n v="425"/>
    <x v="0"/>
  </r>
  <r>
    <m/>
    <x v="1"/>
    <x v="1"/>
    <x v="3"/>
    <x v="2"/>
    <s v="Rasam"/>
    <n v="1"/>
    <m/>
    <x v="0"/>
  </r>
  <r>
    <m/>
    <x v="1"/>
    <x v="1"/>
    <x v="3"/>
    <x v="2"/>
    <s v="Mutton thokku"/>
    <n v="1"/>
    <m/>
    <x v="1"/>
  </r>
  <r>
    <s v="CS-250506-0060"/>
    <x v="35"/>
    <x v="0"/>
    <x v="0"/>
    <x v="1"/>
    <s v="Chicken thokku"/>
    <n v="2"/>
    <n v="580"/>
    <x v="1"/>
  </r>
  <r>
    <m/>
    <x v="1"/>
    <x v="1"/>
    <x v="3"/>
    <x v="2"/>
    <s v="Paruppu payasam"/>
    <n v="2"/>
    <m/>
    <x v="0"/>
  </r>
  <r>
    <s v="CS-250506-0075"/>
    <x v="35"/>
    <x v="0"/>
    <x v="0"/>
    <x v="1"/>
    <s v="Prawn kurma"/>
    <n v="1"/>
    <n v="190"/>
    <x v="1"/>
  </r>
  <r>
    <s v="CS-250506-0076"/>
    <x v="35"/>
    <x v="0"/>
    <x v="0"/>
    <x v="1"/>
    <s v="Sambar"/>
    <n v="1"/>
    <n v="470"/>
    <x v="0"/>
  </r>
  <r>
    <m/>
    <x v="1"/>
    <x v="1"/>
    <x v="3"/>
    <x v="2"/>
    <s v="Rasam"/>
    <n v="1"/>
    <m/>
    <x v="0"/>
  </r>
  <r>
    <m/>
    <x v="1"/>
    <x v="1"/>
    <x v="3"/>
    <x v="2"/>
    <s v="Potato thokku"/>
    <n v="1"/>
    <m/>
    <x v="0"/>
  </r>
  <r>
    <m/>
    <x v="1"/>
    <x v="1"/>
    <x v="3"/>
    <x v="2"/>
    <s v="Vendakkai poriyal"/>
    <n v="1"/>
    <m/>
    <x v="0"/>
  </r>
  <r>
    <m/>
    <x v="1"/>
    <x v="1"/>
    <x v="3"/>
    <x v="2"/>
    <s v="Chicken kuzhambu"/>
    <n v="1"/>
    <m/>
    <x v="1"/>
  </r>
  <r>
    <s v="CS-250506-0193"/>
    <x v="36"/>
    <x v="2"/>
    <x v="0"/>
    <x v="0"/>
    <s v="Rice (750ml), Paruppu urundai kulambu (250ml), Keerai Poriyal (200ml), Rasam (100ml), Mor (100ml), Appalam, Pickle"/>
    <n v="1"/>
    <n v="129"/>
    <x v="0"/>
  </r>
  <r>
    <s v="CS-250506-0308"/>
    <x v="36"/>
    <x v="2"/>
    <x v="0"/>
    <x v="1"/>
    <s v="Pepper prawn thokku"/>
    <n v="2"/>
    <n v="570"/>
    <x v="1"/>
  </r>
  <r>
    <m/>
    <x v="1"/>
    <x v="1"/>
    <x v="3"/>
    <x v="2"/>
    <s v="Egg kurma"/>
    <n v="1"/>
    <m/>
    <x v="1"/>
  </r>
  <r>
    <m/>
    <x v="1"/>
    <x v="1"/>
    <x v="3"/>
    <x v="2"/>
    <s v="Rasam"/>
    <n v="1"/>
    <m/>
    <x v="0"/>
  </r>
  <r>
    <s v="CS-250507-0059"/>
    <x v="36"/>
    <x v="2"/>
    <x v="0"/>
    <x v="1"/>
    <s v="Chicken Biryani"/>
    <n v="1"/>
    <n v="190"/>
    <x v="1"/>
  </r>
  <r>
    <s v="CS-250507-0069"/>
    <x v="36"/>
    <x v="2"/>
    <x v="0"/>
    <x v="1"/>
    <s v="Keerai kootu"/>
    <n v="1"/>
    <n v="230"/>
    <x v="0"/>
  </r>
  <r>
    <m/>
    <x v="1"/>
    <x v="1"/>
    <x v="3"/>
    <x v="2"/>
    <s v="Chicken 65"/>
    <n v="1"/>
    <m/>
    <x v="1"/>
  </r>
  <r>
    <s v="CS-250507-0088"/>
    <x v="36"/>
    <x v="2"/>
    <x v="0"/>
    <x v="1"/>
    <s v="Sambar"/>
    <n v="1"/>
    <n v="165"/>
    <x v="0"/>
  </r>
  <r>
    <m/>
    <x v="1"/>
    <x v="1"/>
    <x v="3"/>
    <x v="2"/>
    <s v="Odachi vitta muttai kuzhambu"/>
    <n v="1"/>
    <m/>
    <x v="1"/>
  </r>
  <r>
    <s v="CS-250507-0088"/>
    <x v="36"/>
    <x v="2"/>
    <x v="0"/>
    <x v="1"/>
    <s v="Mutton thokku"/>
    <n v="1"/>
    <n v="280"/>
    <x v="1"/>
  </r>
  <r>
    <s v="CS-250507-0103"/>
    <x v="36"/>
    <x v="2"/>
    <x v="0"/>
    <x v="1"/>
    <s v="Rice with sambar and egg fry"/>
    <n v="1"/>
    <n v="140"/>
    <x v="1"/>
  </r>
  <r>
    <s v="CS-250507-0105"/>
    <x v="36"/>
    <x v="2"/>
    <x v="0"/>
    <x v="1"/>
    <s v="Mor kuzhambu"/>
    <n v="2"/>
    <n v="475"/>
    <x v="0"/>
  </r>
  <r>
    <m/>
    <x v="1"/>
    <x v="1"/>
    <x v="3"/>
    <x v="2"/>
    <s v="Potato thokku"/>
    <n v="1"/>
    <m/>
    <x v="0"/>
  </r>
  <r>
    <m/>
    <x v="1"/>
    <x v="1"/>
    <x v="3"/>
    <x v="2"/>
    <s v="Karuvadu thokku"/>
    <n v="1"/>
    <m/>
    <x v="1"/>
  </r>
  <r>
    <m/>
    <x v="1"/>
    <x v="1"/>
    <x v="3"/>
    <x v="2"/>
    <s v="Vegetable poriyal"/>
    <n v="1"/>
    <m/>
    <x v="0"/>
  </r>
  <r>
    <s v="CS-250507-0190"/>
    <x v="37"/>
    <x v="3"/>
    <x v="0"/>
    <x v="0"/>
    <s v="Rice (750ml), Tomato curry (250ml), vazhakkai varuval (200ml), Rasam (100ml), Mor (100ml), Appalam, Pickle"/>
    <n v="1"/>
    <n v="129"/>
    <x v="0"/>
  </r>
  <r>
    <s v="CS-250508-0030"/>
    <x v="37"/>
    <x v="3"/>
    <x v="0"/>
    <x v="1"/>
    <s v="Vegetable poriyal"/>
    <n v="1"/>
    <n v="210"/>
    <x v="0"/>
  </r>
  <r>
    <m/>
    <x v="1"/>
    <x v="1"/>
    <x v="3"/>
    <x v="2"/>
    <s v="Rasam"/>
    <n v="1"/>
    <m/>
    <x v="0"/>
  </r>
  <r>
    <m/>
    <x v="1"/>
    <x v="1"/>
    <x v="3"/>
    <x v="2"/>
    <s v="Vazhakkai varuval"/>
    <n v="1"/>
    <m/>
    <x v="0"/>
  </r>
  <r>
    <s v="CS-250508-0051"/>
    <x v="37"/>
    <x v="3"/>
    <x v="0"/>
    <x v="1"/>
    <s v="Egg kurma"/>
    <n v="1"/>
    <n v="80"/>
    <x v="1"/>
  </r>
  <r>
    <s v="CS-250508-0052"/>
    <x v="37"/>
    <x v="3"/>
    <x v="0"/>
    <x v="1"/>
    <s v="Chicken kuzhambu"/>
    <n v="1"/>
    <n v="280"/>
    <x v="1"/>
  </r>
  <r>
    <m/>
    <x v="1"/>
    <x v="1"/>
    <x v="3"/>
    <x v="2"/>
    <s v="White Rice"/>
    <n v="1"/>
    <m/>
    <x v="0"/>
  </r>
  <r>
    <s v="CS-250508-0059"/>
    <x v="37"/>
    <x v="3"/>
    <x v="0"/>
    <x v="1"/>
    <s v="Veg Biryani"/>
    <n v="1"/>
    <n v="240"/>
    <x v="0"/>
  </r>
  <r>
    <m/>
    <x v="1"/>
    <x v="1"/>
    <x v="3"/>
    <x v="2"/>
    <s v="Curd rice with potato thokku"/>
    <n v="1"/>
    <m/>
    <x v="0"/>
  </r>
  <r>
    <s v="CS-250508-0068"/>
    <x v="37"/>
    <x v="3"/>
    <x v="0"/>
    <x v="1"/>
    <s v="Vendakkai poriyal"/>
    <n v="1"/>
    <n v="270"/>
    <x v="1"/>
  </r>
  <r>
    <m/>
    <x v="1"/>
    <x v="1"/>
    <x v="3"/>
    <x v="2"/>
    <s v="White Rice"/>
    <n v="1"/>
    <m/>
    <x v="0"/>
  </r>
  <r>
    <m/>
    <x v="1"/>
    <x v="1"/>
    <x v="3"/>
    <x v="2"/>
    <s v="Keerai paruppu kadayal"/>
    <n v="1"/>
    <m/>
    <x v="0"/>
  </r>
  <r>
    <s v="CS-250508-0098"/>
    <x v="37"/>
    <x v="3"/>
    <x v="0"/>
    <x v="1"/>
    <s v="Rice with sambar and poriyal"/>
    <n v="1"/>
    <n v="375"/>
    <x v="0"/>
  </r>
  <r>
    <m/>
    <x v="1"/>
    <x v="1"/>
    <x v="3"/>
    <x v="2"/>
    <s v="Kavalai fish fry"/>
    <n v="1"/>
    <m/>
    <x v="1"/>
  </r>
  <r>
    <m/>
    <x v="1"/>
    <x v="1"/>
    <x v="3"/>
    <x v="2"/>
    <s v="Chicken 65"/>
    <n v="1"/>
    <m/>
    <x v="1"/>
  </r>
  <r>
    <s v="CS-250508-0114"/>
    <x v="37"/>
    <x v="3"/>
    <x v="0"/>
    <x v="1"/>
    <s v="Coconut rice with potato thokku"/>
    <n v="1"/>
    <n v="80"/>
    <x v="1"/>
  </r>
  <r>
    <s v="CS-250508-0124"/>
    <x v="37"/>
    <x v="3"/>
    <x v="0"/>
    <x v="1"/>
    <s v="Chicken Biryani"/>
    <n v="2"/>
    <n v="510"/>
    <x v="1"/>
  </r>
  <r>
    <m/>
    <x v="1"/>
    <x v="1"/>
    <x v="3"/>
    <x v="2"/>
    <s v="Paruppu payasam"/>
    <n v="1"/>
    <m/>
    <x v="0"/>
  </r>
  <r>
    <s v="CS-250508-0127"/>
    <x v="37"/>
    <x v="3"/>
    <x v="0"/>
    <x v="1"/>
    <s v="Chicken thokku"/>
    <n v="1"/>
    <n v="235"/>
    <x v="1"/>
  </r>
  <r>
    <m/>
    <x v="1"/>
    <x v="1"/>
    <x v="3"/>
    <x v="2"/>
    <s v="Mor kuzhambu"/>
    <n v="1"/>
    <m/>
    <x v="0"/>
  </r>
  <r>
    <s v="CS-250507-0013"/>
    <x v="38"/>
    <x v="4"/>
    <x v="0"/>
    <x v="1"/>
    <s v="Rice with prawn thokku"/>
    <n v="1"/>
    <n v="520"/>
    <x v="1"/>
  </r>
  <r>
    <m/>
    <x v="1"/>
    <x v="1"/>
    <x v="3"/>
    <x v="2"/>
    <s v="Chicken 65"/>
    <n v="1"/>
    <m/>
    <x v="1"/>
  </r>
  <r>
    <m/>
    <x v="1"/>
    <x v="1"/>
    <x v="3"/>
    <x v="2"/>
    <s v="Keerai paruppu kadayal"/>
    <n v="1"/>
    <m/>
    <x v="0"/>
  </r>
  <r>
    <m/>
    <x v="1"/>
    <x v="1"/>
    <x v="3"/>
    <x v="2"/>
    <s v="Keerai kootu"/>
    <n v="1"/>
    <m/>
    <x v="0"/>
  </r>
  <r>
    <s v="CS-250507-0053"/>
    <x v="38"/>
    <x v="4"/>
    <x v="0"/>
    <x v="1"/>
    <s v="Mutton kuzhambu (with bones)"/>
    <n v="1"/>
    <n v="480"/>
    <x v="1"/>
  </r>
  <r>
    <m/>
    <x v="1"/>
    <x v="1"/>
    <x v="3"/>
    <x v="2"/>
    <s v="Chicken 65"/>
    <n v="1"/>
    <m/>
    <x v="1"/>
  </r>
  <r>
    <s v="CS-250508-0184"/>
    <x v="38"/>
    <x v="4"/>
    <x v="0"/>
    <x v="0"/>
    <s v="Rice (750ml), Keerai kadayal (250ml), Carrot poriyal (200ml), Rasam (100ml), Mor (100ml), Appalam, Pickle"/>
    <n v="1"/>
    <n v="129"/>
    <x v="0"/>
  </r>
  <r>
    <s v="CS-250508-0163"/>
    <x v="38"/>
    <x v="4"/>
    <x v="0"/>
    <x v="0"/>
    <s v="Steamed rice (750ml) with Chicken curry (250ml), Egg omeltte (1 pcs), Rasam (100ml), Curd (100ml)"/>
    <n v="1"/>
    <n v="149"/>
    <x v="1"/>
  </r>
  <r>
    <s v="CS-250508-0180"/>
    <x v="38"/>
    <x v="4"/>
    <x v="2"/>
    <x v="0"/>
    <s v="Idiyappam (4 pcs) with Egg drop curry (250ml)"/>
    <n v="1"/>
    <n v="112"/>
    <x v="1"/>
  </r>
  <r>
    <s v="CS-250508-0175"/>
    <x v="38"/>
    <x v="4"/>
    <x v="0"/>
    <x v="0"/>
    <s v="Keerai Sadham (500ml) with poriyal (100 ml), Fryums"/>
    <n v="1"/>
    <n v="99"/>
    <x v="0"/>
  </r>
  <r>
    <s v="CS-250508-0189"/>
    <x v="38"/>
    <x v="4"/>
    <x v="1"/>
    <x v="0"/>
    <s v="Appam (4 pcs) with Chicken stew (250ml)"/>
    <n v="1"/>
    <n v="129"/>
    <x v="1"/>
  </r>
  <r>
    <s v="CS-250509-0003"/>
    <x v="38"/>
    <x v="4"/>
    <x v="0"/>
    <x v="1"/>
    <s v="Vendakkai kara kozhambu"/>
    <n v="2"/>
    <n v="465"/>
    <x v="0"/>
  </r>
  <r>
    <m/>
    <x v="1"/>
    <x v="1"/>
    <x v="3"/>
    <x v="2"/>
    <s v="Rasam"/>
    <n v="2"/>
    <m/>
    <x v="0"/>
  </r>
  <r>
    <m/>
    <x v="1"/>
    <x v="1"/>
    <x v="3"/>
    <x v="2"/>
    <s v="Vegetable kootu"/>
    <n v="1"/>
    <m/>
    <x v="0"/>
  </r>
  <r>
    <m/>
    <x v="1"/>
    <x v="1"/>
    <x v="3"/>
    <x v="2"/>
    <s v="Vegetable poriyal"/>
    <n v="2"/>
    <m/>
    <x v="0"/>
  </r>
  <r>
    <s v="CS-250509-0062"/>
    <x v="38"/>
    <x v="4"/>
    <x v="0"/>
    <x v="1"/>
    <s v="Keerai paruppu kadayal"/>
    <n v="1"/>
    <n v="270"/>
    <x v="0"/>
  </r>
  <r>
    <m/>
    <x v="1"/>
    <x v="1"/>
    <x v="3"/>
    <x v="2"/>
    <s v="White Rice"/>
    <n v="1"/>
    <m/>
    <x v="0"/>
  </r>
  <r>
    <m/>
    <x v="1"/>
    <x v="1"/>
    <x v="3"/>
    <x v="2"/>
    <s v="Vendakkai poriyal"/>
    <n v="1"/>
    <m/>
    <x v="0"/>
  </r>
  <r>
    <s v="CS-250509-0072"/>
    <x v="38"/>
    <x v="4"/>
    <x v="0"/>
    <x v="1"/>
    <s v="Pepper prawn thokku"/>
    <n v="1"/>
    <n v="435"/>
    <x v="1"/>
  </r>
  <r>
    <m/>
    <x v="1"/>
    <x v="1"/>
    <x v="3"/>
    <x v="2"/>
    <s v="Rasam"/>
    <n v="1"/>
    <m/>
    <x v="0"/>
  </r>
  <r>
    <m/>
    <x v="1"/>
    <x v="1"/>
    <x v="3"/>
    <x v="2"/>
    <s v="Chicken Biryani"/>
    <n v="1"/>
    <m/>
    <x v="1"/>
  </r>
  <r>
    <s v="CS-250509-0079"/>
    <x v="38"/>
    <x v="4"/>
    <x v="0"/>
    <x v="1"/>
    <s v="Chicken 65"/>
    <n v="1"/>
    <n v="375"/>
    <x v="1"/>
  </r>
  <r>
    <m/>
    <x v="1"/>
    <x v="1"/>
    <x v="3"/>
    <x v="2"/>
    <s v="Paruppu Nei"/>
    <n v="1"/>
    <m/>
    <x v="0"/>
  </r>
  <r>
    <m/>
    <x v="1"/>
    <x v="1"/>
    <x v="3"/>
    <x v="2"/>
    <s v="Vendakkai poriyal"/>
    <n v="1"/>
    <m/>
    <x v="0"/>
  </r>
  <r>
    <m/>
    <x v="1"/>
    <x v="1"/>
    <x v="3"/>
    <x v="2"/>
    <s v="Rasam"/>
    <n v="1"/>
    <m/>
    <x v="0"/>
  </r>
  <r>
    <s v="CS-250509-0086"/>
    <x v="38"/>
    <x v="4"/>
    <x v="0"/>
    <x v="1"/>
    <s v="Vegetable poriyal"/>
    <n v="1"/>
    <n v="365"/>
    <x v="0"/>
  </r>
  <r>
    <m/>
    <x v="1"/>
    <x v="1"/>
    <x v="3"/>
    <x v="2"/>
    <s v="Meen kuzhambu"/>
    <n v="1"/>
    <m/>
    <x v="1"/>
  </r>
  <r>
    <m/>
    <x v="1"/>
    <x v="1"/>
    <x v="3"/>
    <x v="2"/>
    <s v="Rice with prawn thokku"/>
    <n v="1"/>
    <m/>
    <x v="1"/>
  </r>
  <r>
    <s v="CS-250509-0088"/>
    <x v="38"/>
    <x v="4"/>
    <x v="0"/>
    <x v="1"/>
    <s v="Curd rice with potato thokku"/>
    <n v="1"/>
    <n v="410"/>
    <x v="0"/>
  </r>
  <r>
    <m/>
    <x v="1"/>
    <x v="1"/>
    <x v="3"/>
    <x v="2"/>
    <s v="Keerai kootu"/>
    <n v="1"/>
    <m/>
    <x v="0"/>
  </r>
  <r>
    <m/>
    <x v="1"/>
    <x v="1"/>
    <x v="3"/>
    <x v="2"/>
    <s v="Egg podimas"/>
    <n v="1"/>
    <m/>
    <x v="1"/>
  </r>
  <r>
    <m/>
    <x v="1"/>
    <x v="1"/>
    <x v="3"/>
    <x v="2"/>
    <s v="Rice with chicken kulambu"/>
    <n v="1"/>
    <m/>
    <x v="1"/>
  </r>
  <r>
    <s v="CS-250509-0105"/>
    <x v="39"/>
    <x v="5"/>
    <x v="0"/>
    <x v="0"/>
    <s v="Steamed rice (750ml), Egg gravy (250ml) with eggs (2 pcs), Rasam (100ml), Appalam"/>
    <n v="1"/>
    <n v="179"/>
    <x v="1"/>
  </r>
  <r>
    <s v="CS-250509-0191"/>
    <x v="39"/>
    <x v="5"/>
    <x v="1"/>
    <x v="0"/>
    <s v="Chicken kheema dosa (1 pcs), Kal dosa (1 pcs) with Chutney (250ml)"/>
    <n v="1"/>
    <n v="149"/>
    <x v="1"/>
  </r>
  <r>
    <s v="CS-250509-0195"/>
    <x v="39"/>
    <x v="5"/>
    <x v="0"/>
    <x v="0"/>
    <s v="Rice (500ml), Payaru kulambu (250ml), Pudulangai kootu (100ml)"/>
    <n v="1"/>
    <n v="129"/>
    <x v="0"/>
  </r>
  <r>
    <s v="CS-250509-0223"/>
    <x v="39"/>
    <x v="5"/>
    <x v="2"/>
    <x v="0"/>
    <s v="Dosa (3 nos) with Fish kulambu"/>
    <n v="1"/>
    <n v="117"/>
    <x v="1"/>
  </r>
  <r>
    <s v="CS-250509-0305"/>
    <x v="39"/>
    <x v="5"/>
    <x v="0"/>
    <x v="1"/>
    <s v="Karuvadu thokku"/>
    <n v="1"/>
    <n v="190"/>
    <x v="1"/>
  </r>
  <r>
    <s v="CS-250510-0059"/>
    <x v="39"/>
    <x v="5"/>
    <x v="0"/>
    <x v="1"/>
    <s v="Curd rice with potato thokku"/>
    <n v="1"/>
    <n v="260"/>
    <x v="0"/>
  </r>
  <r>
    <m/>
    <x v="1"/>
    <x v="1"/>
    <x v="3"/>
    <x v="2"/>
    <s v="Pepper chicken"/>
    <n v="1"/>
    <m/>
    <x v="1"/>
  </r>
  <r>
    <s v="CS-250510-0065"/>
    <x v="39"/>
    <x v="5"/>
    <x v="0"/>
    <x v="1"/>
    <s v="Keerai paruppu kadayal"/>
    <n v="1"/>
    <n v="440"/>
    <x v="0"/>
  </r>
  <r>
    <m/>
    <x v="1"/>
    <x v="1"/>
    <x v="3"/>
    <x v="2"/>
    <s v="Vatha kulambu"/>
    <n v="1"/>
    <m/>
    <x v="0"/>
  </r>
  <r>
    <m/>
    <x v="1"/>
    <x v="1"/>
    <x v="3"/>
    <x v="2"/>
    <s v="Vegetable kootu"/>
    <n v="1"/>
    <m/>
    <x v="0"/>
  </r>
  <r>
    <m/>
    <x v="1"/>
    <x v="1"/>
    <x v="3"/>
    <x v="2"/>
    <s v="Pepper chicken"/>
    <n v="1"/>
    <m/>
    <x v="1"/>
  </r>
  <r>
    <s v="CS-250510-0099"/>
    <x v="39"/>
    <x v="5"/>
    <x v="0"/>
    <x v="1"/>
    <s v="Chicken Biryani"/>
    <n v="1"/>
    <n v="350"/>
    <x v="1"/>
  </r>
  <r>
    <m/>
    <x v="1"/>
    <x v="1"/>
    <x v="3"/>
    <x v="2"/>
    <s v="Chicken thokku"/>
    <n v="1"/>
    <m/>
    <x v="1"/>
  </r>
  <r>
    <s v="CS-250510-0100"/>
    <x v="39"/>
    <x v="5"/>
    <x v="0"/>
    <x v="1"/>
    <s v="Egg kurma"/>
    <n v="1"/>
    <n v="230"/>
    <x v="1"/>
  </r>
  <r>
    <m/>
    <x v="1"/>
    <x v="1"/>
    <x v="3"/>
    <x v="2"/>
    <s v="Rice with sambar and chicken 65"/>
    <n v="1"/>
    <m/>
    <x v="1"/>
  </r>
  <r>
    <s v="CS-250510-0112"/>
    <x v="39"/>
    <x v="5"/>
    <x v="0"/>
    <x v="1"/>
    <s v="Keerai paruppu kadayal"/>
    <n v="1"/>
    <n v="280"/>
    <x v="0"/>
  </r>
  <r>
    <m/>
    <x v="1"/>
    <x v="1"/>
    <x v="3"/>
    <x v="2"/>
    <s v="White veg pulav (Basmathi rice)"/>
    <n v="1"/>
    <m/>
    <x v="0"/>
  </r>
  <r>
    <s v="CS-250510-0144"/>
    <x v="39"/>
    <x v="5"/>
    <x v="0"/>
    <x v="1"/>
    <s v="Egg fry"/>
    <n v="1"/>
    <n v="350"/>
    <x v="1"/>
  </r>
  <r>
    <m/>
    <x v="1"/>
    <x v="1"/>
    <x v="3"/>
    <x v="2"/>
    <s v="Tamarind rice with egg fry"/>
    <n v="1"/>
    <m/>
    <x v="1"/>
  </r>
  <r>
    <m/>
    <x v="1"/>
    <x v="1"/>
    <x v="3"/>
    <x v="2"/>
    <s v="Prawn kadai rice with egg omelette"/>
    <n v="1"/>
    <m/>
    <x v="1"/>
  </r>
  <r>
    <s v="CS-250510-0226"/>
    <x v="40"/>
    <x v="6"/>
    <x v="1"/>
    <x v="0"/>
    <s v="Chapathi (4 pcs) with Chicken curry (250ml)"/>
    <n v="1"/>
    <n v="129"/>
    <x v="1"/>
  </r>
  <r>
    <s v="CS-250510-0225"/>
    <x v="40"/>
    <x v="6"/>
    <x v="2"/>
    <x v="0"/>
    <s v="Appam (3 pcs) with Chicken gravy (250ml)"/>
    <n v="1"/>
    <n v="117"/>
    <x v="1"/>
  </r>
  <r>
    <s v="CS-250510-0234"/>
    <x v="40"/>
    <x v="6"/>
    <x v="0"/>
    <x v="0"/>
    <s v="Chicken Biryani (750ml) with Boiled egg (1 nos), Chicken 65 (100ml), Raita (100ml)"/>
    <n v="1"/>
    <n v="149"/>
    <x v="1"/>
  </r>
  <r>
    <s v="CS-250510-0252"/>
    <x v="40"/>
    <x v="6"/>
    <x v="2"/>
    <x v="0"/>
    <s v="Appam (3 nos) with coconut milk (250ml)"/>
    <n v="1"/>
    <n v="99"/>
    <x v="0"/>
  </r>
  <r>
    <s v="CS-250510-0275"/>
    <x v="40"/>
    <x v="6"/>
    <x v="0"/>
    <x v="1"/>
    <s v="Chicken family combo"/>
    <n v="1"/>
    <n v="699"/>
    <x v="1"/>
  </r>
  <r>
    <s v="CS-250511-0112"/>
    <x v="40"/>
    <x v="6"/>
    <x v="0"/>
    <x v="1"/>
    <s v="Keerai paruppu kadayal"/>
    <n v="1"/>
    <n v="190"/>
    <x v="0"/>
  </r>
  <r>
    <m/>
    <x v="1"/>
    <x v="1"/>
    <x v="3"/>
    <x v="2"/>
    <s v="Potato thokku"/>
    <n v="1"/>
    <m/>
    <x v="0"/>
  </r>
  <r>
    <s v="CS-250511-0116"/>
    <x v="40"/>
    <x v="6"/>
    <x v="0"/>
    <x v="1"/>
    <s v="Rice with chicken gravy"/>
    <n v="1"/>
    <n v="170"/>
    <x v="1"/>
  </r>
  <r>
    <s v="CS-250511-0124"/>
    <x v="40"/>
    <x v="6"/>
    <x v="0"/>
    <x v="1"/>
    <s v="Potato thokku"/>
    <n v="1"/>
    <n v="150"/>
    <x v="0"/>
  </r>
  <r>
    <m/>
    <x v="1"/>
    <x v="1"/>
    <x v="3"/>
    <x v="2"/>
    <s v="Vazhakkai varuval"/>
    <n v="1"/>
    <m/>
    <x v="0"/>
  </r>
  <r>
    <s v="CS-250511-0138"/>
    <x v="40"/>
    <x v="6"/>
    <x v="0"/>
    <x v="1"/>
    <s v="Chicken Biryani"/>
    <n v="1"/>
    <n v="190"/>
    <x v="1"/>
  </r>
  <r>
    <s v="CS-250511-0145"/>
    <x v="40"/>
    <x v="6"/>
    <x v="0"/>
    <x v="1"/>
    <s v="Chicken family combo"/>
    <n v="1"/>
    <n v="699"/>
    <x v="1"/>
  </r>
  <r>
    <s v="CS-250511-0161"/>
    <x v="40"/>
    <x v="6"/>
    <x v="0"/>
    <x v="1"/>
    <s v="Egg podimas"/>
    <n v="1"/>
    <n v="655"/>
    <x v="1"/>
  </r>
  <r>
    <m/>
    <x v="1"/>
    <x v="1"/>
    <x v="3"/>
    <x v="2"/>
    <s v="Rasam"/>
    <n v="1"/>
    <m/>
    <x v="0"/>
  </r>
  <r>
    <m/>
    <x v="1"/>
    <x v="1"/>
    <x v="3"/>
    <x v="2"/>
    <s v="Pepper chicken"/>
    <n v="1"/>
    <m/>
    <x v="1"/>
  </r>
  <r>
    <m/>
    <x v="1"/>
    <x v="1"/>
    <x v="3"/>
    <x v="2"/>
    <s v="Mutton kuzhambu (with bones)"/>
    <n v="1"/>
    <m/>
    <x v="1"/>
  </r>
  <r>
    <s v="CS-250511-0163"/>
    <x v="40"/>
    <x v="6"/>
    <x v="0"/>
    <x v="1"/>
    <s v="Vazhakkai varuval"/>
    <n v="1"/>
    <n v="280"/>
    <x v="0"/>
  </r>
  <r>
    <m/>
    <x v="1"/>
    <x v="1"/>
    <x v="3"/>
    <x v="2"/>
    <s v="Paruppu Nei"/>
    <n v="1"/>
    <m/>
    <x v="0"/>
  </r>
  <r>
    <m/>
    <x v="1"/>
    <x v="1"/>
    <x v="3"/>
    <x v="2"/>
    <s v="Rice with Rasam and egg fry"/>
    <n v="1"/>
    <m/>
    <x v="1"/>
  </r>
  <r>
    <s v="CS-250511-0326"/>
    <x v="41"/>
    <x v="7"/>
    <x v="0"/>
    <x v="0"/>
    <s v="Rice (750ml), Vendakkai kara kulambu (250ml), Beetroot poriyal(200ml), Rasam (100ml), Mor (100ml), Appalam, Pickle"/>
    <n v="1"/>
    <n v="129"/>
    <x v="0"/>
  </r>
  <r>
    <s v="CS-250511-0329"/>
    <x v="41"/>
    <x v="7"/>
    <x v="0"/>
    <x v="0"/>
    <s v="Rice (500ml), Vendakkai kara kulambu (250ml), Beetroot poriyal (100ml)"/>
    <n v="1"/>
    <n v="129"/>
    <x v="0"/>
  </r>
  <r>
    <s v="CS-250511-0352"/>
    <x v="41"/>
    <x v="7"/>
    <x v="2"/>
    <x v="0"/>
    <s v="Idly (4 nos) with Sambar (250 ml) and green chutney (100ml)"/>
    <n v="1"/>
    <n v="79"/>
    <x v="0"/>
  </r>
  <r>
    <s v="CS-250511-0323"/>
    <x v="41"/>
    <x v="7"/>
    <x v="2"/>
    <x v="0"/>
    <s v="Podi Idly ( 2pcs) and Idly (2 pcs) with sambar (250ml) green chutney (100ml)"/>
    <n v="1"/>
    <n v="112"/>
    <x v="0"/>
  </r>
  <r>
    <s v="CS-250511-0334"/>
    <x v="41"/>
    <x v="7"/>
    <x v="1"/>
    <x v="0"/>
    <s v="Samba wheat kichadi(500l) with coconut chutney (100ml)"/>
    <n v="1"/>
    <n v="79"/>
    <x v="0"/>
  </r>
  <r>
    <s v="CS-250511-0350"/>
    <x v="41"/>
    <x v="7"/>
    <x v="0"/>
    <x v="0"/>
    <s v="Lemon rice (500ml) with poriyal(100ml)"/>
    <n v="1"/>
    <n v="99"/>
    <x v="0"/>
  </r>
  <r>
    <s v="CS-250511-0423"/>
    <x v="41"/>
    <x v="7"/>
    <x v="0"/>
    <x v="1"/>
    <s v="Chicken Biryani"/>
    <n v="1"/>
    <n v="600"/>
    <x v="1"/>
  </r>
  <r>
    <m/>
    <x v="1"/>
    <x v="1"/>
    <x v="3"/>
    <x v="2"/>
    <s v="Mutton thokku"/>
    <n v="1"/>
    <m/>
    <x v="1"/>
  </r>
  <r>
    <m/>
    <x v="1"/>
    <x v="1"/>
    <x v="3"/>
    <x v="2"/>
    <s v="Iral surakkai kolambu"/>
    <n v="1"/>
    <m/>
    <x v="1"/>
  </r>
  <r>
    <s v="CS-250512-0030"/>
    <x v="41"/>
    <x v="7"/>
    <x v="0"/>
    <x v="1"/>
    <s v="Rasam"/>
    <n v="1"/>
    <n v="205"/>
    <x v="0"/>
  </r>
  <r>
    <m/>
    <x v="1"/>
    <x v="1"/>
    <x v="3"/>
    <x v="2"/>
    <s v="Organic Karuppu kavuni kanji"/>
    <n v="1"/>
    <m/>
    <x v="0"/>
  </r>
  <r>
    <s v="CS-250512-0071"/>
    <x v="41"/>
    <x v="7"/>
    <x v="0"/>
    <x v="1"/>
    <s v="Rice with chicken kulambu"/>
    <n v="1"/>
    <n v="170"/>
    <x v="1"/>
  </r>
  <r>
    <s v="CS-250512-0128"/>
    <x v="41"/>
    <x v="7"/>
    <x v="0"/>
    <x v="1"/>
    <s v="Chicken Biryani"/>
    <n v="1"/>
    <n v="190"/>
    <x v="1"/>
  </r>
  <r>
    <s v="CS-250512-0131"/>
    <x v="41"/>
    <x v="7"/>
    <x v="0"/>
    <x v="1"/>
    <s v="Keerai kootu"/>
    <n v="1"/>
    <n v="255"/>
    <x v="0"/>
  </r>
  <r>
    <m/>
    <x v="1"/>
    <x v="1"/>
    <x v="3"/>
    <x v="2"/>
    <s v="Vegetable poriyal"/>
    <n v="1"/>
    <m/>
    <x v="0"/>
  </r>
  <r>
    <m/>
    <x v="1"/>
    <x v="1"/>
    <x v="3"/>
    <x v="2"/>
    <s v="Rice with Rasam and egg fry"/>
    <n v="1"/>
    <m/>
    <x v="1"/>
  </r>
  <r>
    <s v="CS-250512-0132"/>
    <x v="41"/>
    <x v="7"/>
    <x v="0"/>
    <x v="1"/>
    <s v="Lemon rice with potato thokku"/>
    <n v="1"/>
    <n v="210"/>
    <x v="0"/>
  </r>
  <r>
    <m/>
    <x v="1"/>
    <x v="1"/>
    <x v="3"/>
    <x v="2"/>
    <s v="Paruppu payasam"/>
    <n v="1"/>
    <m/>
    <x v="0"/>
  </r>
  <r>
    <s v="CS-250512-0210"/>
    <x v="42"/>
    <x v="0"/>
    <x v="1"/>
    <x v="0"/>
    <s v="Ragi idiyapam(4no.s) with white kurma(250ml)"/>
    <n v="1"/>
    <n v="99"/>
    <x v="0"/>
  </r>
  <r>
    <s v="CS-250512-0219"/>
    <x v="42"/>
    <x v="0"/>
    <x v="2"/>
    <x v="0"/>
    <s v="Chapathi (4 nos) with Veg gravy (250ml)"/>
    <n v="1"/>
    <n v="99"/>
    <x v="0"/>
  </r>
  <r>
    <s v="CS-250512-0220"/>
    <x v="42"/>
    <x v="0"/>
    <x v="2"/>
    <x v="0"/>
    <s v="Chapathi (4 nos) with Veg gravy (250ml)"/>
    <n v="1"/>
    <n v="99"/>
    <x v="0"/>
  </r>
  <r>
    <s v="CS-250512-0227"/>
    <x v="42"/>
    <x v="0"/>
    <x v="0"/>
    <x v="0"/>
    <s v="Sambar rice (500ml) with poriyal (100ml)"/>
    <n v="1"/>
    <n v="99"/>
    <x v="0"/>
  </r>
  <r>
    <s v="CS-250512-0231"/>
    <x v="42"/>
    <x v="0"/>
    <x v="0"/>
    <x v="0"/>
    <s v="Rice (750ml), Mixed Vegetable sambar (250ml), Potato fry (200ml), Rasam (100ml), Mor (100ml), Appalam, Pickle"/>
    <n v="1"/>
    <n v="129"/>
    <x v="0"/>
  </r>
  <r>
    <s v="CS-250512-0235"/>
    <x v="42"/>
    <x v="0"/>
    <x v="0"/>
    <x v="0"/>
    <s v="Rice (500ml), Mixed vegetable sambar (250ml), Potato fry (100ml)"/>
    <n v="1"/>
    <n v="129"/>
    <x v="0"/>
  </r>
  <r>
    <s v="CS-250512-0202"/>
    <x v="42"/>
    <x v="0"/>
    <x v="0"/>
    <x v="0"/>
    <s v="Rice (500ml), Mixed vegetable sambar (250ml), Potato fry (100ml)"/>
    <n v="1"/>
    <n v="129"/>
    <x v="0"/>
  </r>
  <r>
    <s v="CS-250512-0228"/>
    <x v="42"/>
    <x v="0"/>
    <x v="2"/>
    <x v="0"/>
    <s v="Chapathi (4 nos) with Veg gravy (250ml)"/>
    <n v="1"/>
    <n v="99"/>
    <x v="0"/>
  </r>
  <r>
    <s v="CS-250512-0241"/>
    <x v="42"/>
    <x v="0"/>
    <x v="1"/>
    <x v="0"/>
    <s v="Ragi idiyapam(4no.s) with white kurma(250ml)"/>
    <n v="1"/>
    <n v="99"/>
    <x v="0"/>
  </r>
  <r>
    <s v="CS-250512-0287"/>
    <x v="42"/>
    <x v="0"/>
    <x v="0"/>
    <x v="1"/>
    <s v="Vegetable kootu"/>
    <n v="1"/>
    <n v="205"/>
    <x v="0"/>
  </r>
  <r>
    <m/>
    <x v="1"/>
    <x v="1"/>
    <x v="3"/>
    <x v="2"/>
    <s v="Vegetable poriyal"/>
    <n v="1"/>
    <m/>
    <x v="0"/>
  </r>
  <r>
    <m/>
    <x v="1"/>
    <x v="1"/>
    <x v="3"/>
    <x v="2"/>
    <s v="Vatha kulambu"/>
    <n v="1"/>
    <m/>
    <x v="0"/>
  </r>
  <r>
    <s v="CS-250513-0039"/>
    <x v="42"/>
    <x v="0"/>
    <x v="0"/>
    <x v="1"/>
    <s v="Meen kuzhambu"/>
    <n v="1"/>
    <n v="130"/>
    <x v="1"/>
  </r>
  <r>
    <s v="CS-250513-0060"/>
    <x v="42"/>
    <x v="0"/>
    <x v="0"/>
    <x v="1"/>
    <s v="White veg pulav (Basmathi rice)"/>
    <n v="1"/>
    <n v="160"/>
    <x v="0"/>
  </r>
  <r>
    <s v="CS-250513-0062"/>
    <x v="42"/>
    <x v="0"/>
    <x v="0"/>
    <x v="1"/>
    <s v="Rice with sambar and poriyal"/>
    <n v="1"/>
    <n v="95"/>
    <x v="0"/>
  </r>
  <r>
    <s v="CS-250513-0074"/>
    <x v="42"/>
    <x v="0"/>
    <x v="0"/>
    <x v="1"/>
    <s v="Mushroom Biryani(seeraga samba rice)"/>
    <n v="1"/>
    <n v="190"/>
    <x v="0"/>
  </r>
  <r>
    <s v="CS-250513-0084"/>
    <x v="42"/>
    <x v="0"/>
    <x v="0"/>
    <x v="1"/>
    <s v="Rice with chicken gravy"/>
    <n v="1"/>
    <n v="170"/>
    <x v="1"/>
  </r>
  <r>
    <s v="CS-250513-0091"/>
    <x v="42"/>
    <x v="0"/>
    <x v="0"/>
    <x v="1"/>
    <s v="Vendakkai poriyal"/>
    <n v="1"/>
    <n v="270"/>
    <x v="0"/>
  </r>
  <r>
    <m/>
    <x v="1"/>
    <x v="1"/>
    <x v="3"/>
    <x v="2"/>
    <s v="White rice"/>
    <n v="1"/>
    <m/>
    <x v="0"/>
  </r>
  <r>
    <m/>
    <x v="1"/>
    <x v="1"/>
    <x v="3"/>
    <x v="2"/>
    <s v="Keerai paruppu kadayal"/>
    <n v="1"/>
    <m/>
    <x v="0"/>
  </r>
  <r>
    <s v="CS-250513-0110"/>
    <x v="42"/>
    <x v="0"/>
    <x v="0"/>
    <x v="1"/>
    <s v="Keerai paruppu kadayal"/>
    <n v="1"/>
    <n v="180"/>
    <x v="0"/>
  </r>
  <r>
    <m/>
    <x v="1"/>
    <x v="1"/>
    <x v="3"/>
    <x v="2"/>
    <s v="Egg fry"/>
    <n v="1"/>
    <m/>
    <x v="1"/>
  </r>
  <r>
    <s v="CS-250513-0114"/>
    <x v="42"/>
    <x v="0"/>
    <x v="0"/>
    <x v="1"/>
    <s v="Chicken Biryani"/>
    <n v="1"/>
    <n v="520"/>
    <x v="1"/>
  </r>
  <r>
    <m/>
    <x v="1"/>
    <x v="1"/>
    <x v="3"/>
    <x v="2"/>
    <s v="Rice with chicken kulambu"/>
    <n v="1"/>
    <m/>
    <x v="1"/>
  </r>
  <r>
    <m/>
    <x v="1"/>
    <x v="1"/>
    <x v="3"/>
    <x v="2"/>
    <s v="Chicken thokku"/>
    <n v="1"/>
    <m/>
    <x v="1"/>
  </r>
  <r>
    <s v="CS-250513-0202"/>
    <x v="43"/>
    <x v="2"/>
    <x v="2"/>
    <x v="0"/>
    <s v="Uthappam (3 nos) with puthina chutney (250ml)"/>
    <n v="1"/>
    <n v="79"/>
    <x v="0"/>
  </r>
  <r>
    <s v="CS-250513-0209"/>
    <x v="43"/>
    <x v="2"/>
    <x v="0"/>
    <x v="0"/>
    <s v="Puliyotharai (500ml) with poriyal (100ml)"/>
    <n v="1"/>
    <n v="99"/>
    <x v="0"/>
  </r>
  <r>
    <s v="CS-250513-0199"/>
    <x v="43"/>
    <x v="2"/>
    <x v="0"/>
    <x v="0"/>
    <s v="Masal dosa (1 nos), 2 plain dosa with kara chutney (250ml)"/>
    <n v="1"/>
    <n v="112"/>
    <x v="0"/>
  </r>
  <r>
    <s v="CS-250513-0221"/>
    <x v="43"/>
    <x v="2"/>
    <x v="1"/>
    <x v="0"/>
    <s v="Pesarattu dosa(3no.s) with kaara chutney(250ml), Omelette (1 nos)"/>
    <n v="1"/>
    <n v="99"/>
    <x v="1"/>
  </r>
  <r>
    <s v="CS-250513-0226"/>
    <x v="43"/>
    <x v="2"/>
    <x v="0"/>
    <x v="0"/>
    <s v="Puliyotharai (500ml) with poriyal (100ml), fryums, pickle"/>
    <n v="1"/>
    <n v="129"/>
    <x v="0"/>
  </r>
  <r>
    <s v="CS-250513-0231"/>
    <x v="43"/>
    <x v="2"/>
    <x v="0"/>
    <x v="0"/>
    <s v="Puliyotharai (500ml) with poriyal (100ml)"/>
    <n v="1"/>
    <n v="99"/>
    <x v="0"/>
  </r>
  <r>
    <s v="CS-250513-0228"/>
    <x v="43"/>
    <x v="2"/>
    <x v="1"/>
    <x v="0"/>
    <s v="Pesarattu dosa(3no.s) with kaara chutney(250ml), Omelette (1 nos)"/>
    <n v="1"/>
    <n v="99"/>
    <x v="1"/>
  </r>
  <r>
    <s v="CS-250513-0236"/>
    <x v="43"/>
    <x v="2"/>
    <x v="2"/>
    <x v="0"/>
    <s v="Uthappam (3 nos) with puthina chutney (250ml)"/>
    <n v="1"/>
    <n v="79"/>
    <x v="0"/>
  </r>
  <r>
    <s v="CS-250513-0219"/>
    <x v="43"/>
    <x v="2"/>
    <x v="0"/>
    <x v="0"/>
    <s v="Rice (750ml), Paruppu urundai kulambu (250ml), Keerai Poriyal (200ml), Rasam (100ml), Mor (100ml), Appalam, Pickle"/>
    <n v="1"/>
    <n v="129"/>
    <x v="0"/>
  </r>
  <r>
    <s v="CS-250514-0008"/>
    <x v="43"/>
    <x v="2"/>
    <x v="0"/>
    <x v="1"/>
    <s v="Chicken thokku"/>
    <n v="1"/>
    <n v="380"/>
    <x v="1"/>
  </r>
  <r>
    <m/>
    <x v="1"/>
    <x v="1"/>
    <x v="3"/>
    <x v="2"/>
    <s v="Sambar"/>
    <n v="1"/>
    <m/>
    <x v="0"/>
  </r>
  <r>
    <m/>
    <x v="1"/>
    <x v="1"/>
    <x v="3"/>
    <x v="2"/>
    <s v="White Rice"/>
    <n v="1"/>
    <m/>
    <x v="0"/>
  </r>
  <r>
    <m/>
    <x v="1"/>
    <x v="1"/>
    <x v="3"/>
    <x v="2"/>
    <s v="Mor kuzhambu"/>
    <n v="1"/>
    <m/>
    <x v="0"/>
  </r>
  <r>
    <s v="CS-250514-0034"/>
    <x v="43"/>
    <x v="2"/>
    <x v="0"/>
    <x v="1"/>
    <s v="Chicken Biryani"/>
    <n v="1"/>
    <n v="420"/>
    <x v="1"/>
  </r>
  <r>
    <m/>
    <x v="1"/>
    <x v="1"/>
    <x v="3"/>
    <x v="2"/>
    <s v="Chicken 65"/>
    <n v="1"/>
    <m/>
    <x v="1"/>
  </r>
  <r>
    <m/>
    <x v="1"/>
    <x v="1"/>
    <x v="3"/>
    <x v="2"/>
    <s v="Egg kurma"/>
    <n v="1"/>
    <m/>
    <x v="1"/>
  </r>
  <r>
    <s v="CS-250514-0041"/>
    <x v="43"/>
    <x v="2"/>
    <x v="0"/>
    <x v="1"/>
    <s v="Vatha kulambu"/>
    <n v="1"/>
    <n v="375"/>
    <x v="0"/>
  </r>
  <r>
    <m/>
    <x v="1"/>
    <x v="1"/>
    <x v="3"/>
    <x v="2"/>
    <s v="Keerai kootu"/>
    <n v="1"/>
    <m/>
    <x v="0"/>
  </r>
  <r>
    <m/>
    <x v="1"/>
    <x v="1"/>
    <x v="3"/>
    <x v="2"/>
    <s v="Vendakkai poriyal"/>
    <n v="1"/>
    <m/>
    <x v="0"/>
  </r>
  <r>
    <m/>
    <x v="1"/>
    <x v="1"/>
    <x v="3"/>
    <x v="2"/>
    <s v="Sambar"/>
    <n v="1"/>
    <m/>
    <x v="0"/>
  </r>
  <r>
    <m/>
    <x v="1"/>
    <x v="1"/>
    <x v="3"/>
    <x v="2"/>
    <s v="Vazhakkai varuval"/>
    <n v="1"/>
    <m/>
    <x v="0"/>
  </r>
  <r>
    <s v="CS-250514-0056"/>
    <x v="43"/>
    <x v="2"/>
    <x v="0"/>
    <x v="1"/>
    <s v="White Rice"/>
    <n v="1"/>
    <n v="475"/>
    <x v="1"/>
  </r>
  <r>
    <m/>
    <x v="1"/>
    <x v="1"/>
    <x v="3"/>
    <x v="2"/>
    <s v="Rasam"/>
    <n v="1"/>
    <m/>
    <x v="0"/>
  </r>
  <r>
    <m/>
    <x v="1"/>
    <x v="1"/>
    <x v="3"/>
    <x v="2"/>
    <s v="Mutton kuzhambu (with bones)"/>
    <n v="1"/>
    <m/>
    <x v="1"/>
  </r>
  <r>
    <s v="CS-250514-0062"/>
    <x v="43"/>
    <x v="2"/>
    <x v="0"/>
    <x v="1"/>
    <s v="Vendakkai poriyal"/>
    <n v="1"/>
    <n v="230"/>
    <x v="0"/>
  </r>
  <r>
    <m/>
    <x v="1"/>
    <x v="1"/>
    <x v="3"/>
    <x v="2"/>
    <s v="Coconut rice with potato thokku"/>
    <n v="1"/>
    <m/>
    <x v="0"/>
  </r>
  <r>
    <m/>
    <x v="1"/>
    <x v="1"/>
    <x v="3"/>
    <x v="2"/>
    <s v="Egg podimas"/>
    <n v="1"/>
    <m/>
    <x v="1"/>
  </r>
  <r>
    <s v="CS-250514-0063"/>
    <x v="43"/>
    <x v="2"/>
    <x v="0"/>
    <x v="1"/>
    <s v="Rice with chicken gravy"/>
    <n v="1"/>
    <n v="170"/>
    <x v="1"/>
  </r>
  <r>
    <s v="CS-250514-0085"/>
    <x v="43"/>
    <x v="2"/>
    <x v="0"/>
    <x v="1"/>
    <s v="Pepper chicken"/>
    <n v="1"/>
    <n v="330"/>
    <x v="1"/>
  </r>
  <r>
    <m/>
    <x v="1"/>
    <x v="1"/>
    <x v="3"/>
    <x v="2"/>
    <s v="Chicken 65"/>
    <n v="1"/>
    <m/>
    <x v="1"/>
  </r>
  <r>
    <s v="CS-250514-0087"/>
    <x v="43"/>
    <x v="2"/>
    <x v="0"/>
    <x v="1"/>
    <s v="Curd rice with potato thokku"/>
    <n v="1"/>
    <n v="80"/>
    <x v="0"/>
  </r>
  <r>
    <s v="CS-250514-0125"/>
    <x v="43"/>
    <x v="2"/>
    <x v="0"/>
    <x v="1"/>
    <s v="Chicken 65"/>
    <n v="2"/>
    <n v="480"/>
    <x v="1"/>
  </r>
  <r>
    <m/>
    <x v="1"/>
    <x v="1"/>
    <x v="3"/>
    <x v="2"/>
    <s v="Pepper prawn thokku"/>
    <n v="1"/>
    <m/>
    <x v="1"/>
  </r>
  <r>
    <s v="CS-250514-0176"/>
    <x v="44"/>
    <x v="3"/>
    <x v="0"/>
    <x v="0"/>
    <s v="Rice (500ml), Tomato curry (250ml), vazhakkai varuval (100ml)"/>
    <n v="1"/>
    <n v="129"/>
    <x v="0"/>
  </r>
  <r>
    <s v="CS-250514-0181"/>
    <x v="44"/>
    <x v="3"/>
    <x v="0"/>
    <x v="0"/>
    <s v="Rice (500ml), Tomato curry (250ml), vazhakkai varuval (100ml)"/>
    <n v="1"/>
    <n v="129"/>
    <x v="0"/>
  </r>
  <r>
    <s v="CS-250514-0184"/>
    <x v="44"/>
    <x v="3"/>
    <x v="0"/>
    <x v="0"/>
    <s v="Coconut rice (500ml) with poriyal (100ml)"/>
    <n v="1"/>
    <n v="99"/>
    <x v="0"/>
  </r>
  <r>
    <s v="CS-250514-0196"/>
    <x v="44"/>
    <x v="3"/>
    <x v="2"/>
    <x v="0"/>
    <s v="Vegetable rava kichadi (500ml) with coconut chutney (100ml)"/>
    <n v="1"/>
    <n v="99"/>
    <x v="0"/>
  </r>
  <r>
    <s v="CS-250514-0192"/>
    <x v="44"/>
    <x v="3"/>
    <x v="2"/>
    <x v="0"/>
    <s v="Rava bath (500ml) with coconut chutney(100ml)"/>
    <n v="1"/>
    <n v="79"/>
    <x v="0"/>
  </r>
  <r>
    <s v="CS-250514-0209"/>
    <x v="44"/>
    <x v="3"/>
    <x v="0"/>
    <x v="0"/>
    <s v="Coconut rice (500ml) with poriyal (100ml)"/>
    <n v="1"/>
    <n v="99"/>
    <x v="0"/>
  </r>
  <r>
    <s v="CS-250514-0195"/>
    <x v="44"/>
    <x v="3"/>
    <x v="0"/>
    <x v="0"/>
    <s v="Rice (500ml), Tomato curry (250ml), vazhakkai varuval (100ml)"/>
    <n v="1"/>
    <n v="129"/>
    <x v="0"/>
  </r>
  <r>
    <s v="CS-250514-0189"/>
    <x v="44"/>
    <x v="3"/>
    <x v="2"/>
    <x v="0"/>
    <s v="Rava bath (500ml) with coconut chutney(100ml)"/>
    <n v="1"/>
    <n v="79"/>
    <x v="0"/>
  </r>
  <r>
    <s v="CS-250514-0217"/>
    <x v="44"/>
    <x v="3"/>
    <x v="0"/>
    <x v="0"/>
    <s v="Rice (750ml), Tomato curry (250ml), vazhakkai varuval (200ml), Rasam (100ml), Mor (100ml), Appalam, Pickle"/>
    <n v="1"/>
    <n v="129"/>
    <x v="0"/>
  </r>
  <r>
    <s v="CS-250514-0287"/>
    <x v="44"/>
    <x v="3"/>
    <x v="0"/>
    <x v="1"/>
    <s v="Chicken 65"/>
    <n v="1"/>
    <n v="150"/>
    <x v="1"/>
  </r>
  <r>
    <s v="CS-250515-0059"/>
    <x v="44"/>
    <x v="3"/>
    <x v="0"/>
    <x v="1"/>
    <s v="Kavalai fish fry"/>
    <n v="1"/>
    <n v="130"/>
    <x v="1"/>
  </r>
  <r>
    <s v="CS-250515-0066"/>
    <x v="44"/>
    <x v="3"/>
    <x v="0"/>
    <x v="1"/>
    <s v="Keerai kootu"/>
    <n v="1"/>
    <n v="175"/>
    <x v="0"/>
  </r>
  <r>
    <m/>
    <x v="1"/>
    <x v="1"/>
    <x v="3"/>
    <x v="2"/>
    <s v="Rice with sambar and poriyal"/>
    <n v="1"/>
    <m/>
    <x v="0"/>
  </r>
  <r>
    <s v="CS-250515-0067"/>
    <x v="44"/>
    <x v="3"/>
    <x v="0"/>
    <x v="1"/>
    <s v="Egg fry"/>
    <n v="1"/>
    <n v="305"/>
    <x v="1"/>
  </r>
  <r>
    <m/>
    <x v="1"/>
    <x v="1"/>
    <x v="3"/>
    <x v="2"/>
    <s v="Rice with prawn thokku"/>
    <n v="1"/>
    <m/>
    <x v="1"/>
  </r>
  <r>
    <m/>
    <x v="1"/>
    <x v="1"/>
    <x v="3"/>
    <x v="2"/>
    <s v="Mor kuzhambu"/>
    <n v="1"/>
    <m/>
    <x v="0"/>
  </r>
  <r>
    <s v="CS-250515-0068"/>
    <x v="44"/>
    <x v="3"/>
    <x v="0"/>
    <x v="1"/>
    <s v="Veg Biryani"/>
    <n v="1"/>
    <n v="530"/>
    <x v="0"/>
  </r>
  <r>
    <m/>
    <x v="1"/>
    <x v="1"/>
    <x v="3"/>
    <x v="2"/>
    <s v="Kavalai fish fry"/>
    <n v="1"/>
    <m/>
    <x v="1"/>
  </r>
  <r>
    <m/>
    <x v="1"/>
    <x v="1"/>
    <x v="3"/>
    <x v="2"/>
    <s v="Paruppu payasam"/>
    <n v="1"/>
    <m/>
    <x v="0"/>
  </r>
  <r>
    <m/>
    <x v="1"/>
    <x v="1"/>
    <x v="3"/>
    <x v="2"/>
    <s v="Rice with Rasam and egg fry"/>
    <n v="1"/>
    <m/>
    <x v="1"/>
  </r>
  <r>
    <s v="CS-250515-0108"/>
    <x v="44"/>
    <x v="3"/>
    <x v="0"/>
    <x v="1"/>
    <s v="Double Omelette"/>
    <n v="1"/>
    <n v="210"/>
    <x v="0"/>
  </r>
  <r>
    <m/>
    <x v="1"/>
    <x v="1"/>
    <x v="3"/>
    <x v="2"/>
    <s v="Keerai kootu"/>
    <n v="1"/>
    <m/>
    <x v="0"/>
  </r>
  <r>
    <m/>
    <x v="1"/>
    <x v="1"/>
    <x v="3"/>
    <x v="2"/>
    <s v="Potato thokku"/>
    <n v="1"/>
    <m/>
    <x v="0"/>
  </r>
  <r>
    <s v="CS-250515-0122"/>
    <x v="44"/>
    <x v="3"/>
    <x v="0"/>
    <x v="1"/>
    <s v="Keerai paruppu kadayal"/>
    <n v="1"/>
    <n v="120"/>
    <x v="0"/>
  </r>
  <r>
    <s v="CS-250515-0181"/>
    <x v="45"/>
    <x v="4"/>
    <x v="0"/>
    <x v="0"/>
    <s v="Keerai Sadham (500ml) with poriyal (100 ml), Fryums"/>
    <n v="1"/>
    <n v="99"/>
    <x v="0"/>
  </r>
  <r>
    <s v="CS-250515-0193"/>
    <x v="45"/>
    <x v="4"/>
    <x v="2"/>
    <x v="0"/>
    <s v="Kara paniyara (10 pcs) with kara chutney (100ml)"/>
    <n v="1"/>
    <n v="99"/>
    <x v="0"/>
  </r>
  <r>
    <s v="CS-250515-0198"/>
    <x v="45"/>
    <x v="4"/>
    <x v="1"/>
    <x v="0"/>
    <s v="Idly (4 nos) with vada curry (250ml)"/>
    <n v="1"/>
    <n v="99"/>
    <x v="0"/>
  </r>
  <r>
    <s v="CS-250515-0203"/>
    <x v="45"/>
    <x v="4"/>
    <x v="2"/>
    <x v="0"/>
    <s v="Kara paniyara (10 pcs) with kara chutney (100ml)"/>
    <n v="1"/>
    <n v="99"/>
    <x v="0"/>
  </r>
  <r>
    <s v="CS-250515-0210"/>
    <x v="45"/>
    <x v="4"/>
    <x v="0"/>
    <x v="0"/>
    <s v="Keerai Sadham (500ml) with poriyal (100 ml)"/>
    <n v="1"/>
    <n v="99"/>
    <x v="0"/>
  </r>
  <r>
    <s v="CS-250515-0214"/>
    <x v="45"/>
    <x v="4"/>
    <x v="0"/>
    <x v="0"/>
    <s v="Rice (750ml), Keerai kadayal (250ml), Carrot poriyal (200ml), Rasam (100ml), Mor (100ml), Appalam, Pickle"/>
    <n v="1"/>
    <n v="129"/>
    <x v="0"/>
  </r>
  <r>
    <s v="CS-250515-0220"/>
    <x v="45"/>
    <x v="4"/>
    <x v="0"/>
    <x v="0"/>
    <s v="Keerai Sadham (500ml) with poriyal (100 ml), Fryums"/>
    <n v="1"/>
    <n v="99"/>
    <x v="0"/>
  </r>
  <r>
    <s v="CS-250515-0224"/>
    <x v="45"/>
    <x v="4"/>
    <x v="1"/>
    <x v="0"/>
    <s v="Idly (4 nos) with Tomato gravy (250ml)"/>
    <n v="1"/>
    <n v="79"/>
    <x v="0"/>
  </r>
  <r>
    <s v="CS-250515-0221"/>
    <x v="45"/>
    <x v="4"/>
    <x v="0"/>
    <x v="0"/>
    <s v="Keerai Sadham (500ml) with poriyal (100 ml)"/>
    <n v="1"/>
    <n v="99"/>
    <x v="0"/>
  </r>
  <r>
    <s v="CS-250515-0225"/>
    <x v="45"/>
    <x v="4"/>
    <x v="2"/>
    <x v="0"/>
    <s v="Appam (4 pcs) with Chicken stew (250ml)"/>
    <n v="1"/>
    <n v="129"/>
    <x v="1"/>
  </r>
  <r>
    <s v="CS-250515-0227"/>
    <x v="45"/>
    <x v="4"/>
    <x v="2"/>
    <x v="0"/>
    <s v="Kara paniyara (10 pcs) with kara chutney (100ml)"/>
    <n v="1"/>
    <n v="99"/>
    <x v="0"/>
  </r>
  <r>
    <s v="CS-250514-0274"/>
    <x v="45"/>
    <x v="4"/>
    <x v="0"/>
    <x v="1"/>
    <s v="Rice with sambar and poriyal"/>
    <n v="1"/>
    <n v="255"/>
    <x v="0"/>
  </r>
  <r>
    <m/>
    <x v="1"/>
    <x v="1"/>
    <x v="3"/>
    <x v="2"/>
    <s v="Lemon rice with potato thokku"/>
    <n v="1"/>
    <m/>
    <x v="0"/>
  </r>
  <r>
    <m/>
    <x v="1"/>
    <x v="1"/>
    <x v="3"/>
    <x v="2"/>
    <s v="Keerai kootu"/>
    <n v="1"/>
    <m/>
    <x v="0"/>
  </r>
  <r>
    <s v="CS-250514-0279"/>
    <x v="46"/>
    <x v="5"/>
    <x v="0"/>
    <x v="1"/>
    <s v="Keerai paruppu kadayal"/>
    <n v="1"/>
    <n v="405"/>
    <x v="0"/>
  </r>
  <r>
    <m/>
    <x v="1"/>
    <x v="1"/>
    <x v="3"/>
    <x v="2"/>
    <s v="Curd rice with potato thokku"/>
    <n v="1"/>
    <m/>
    <x v="0"/>
  </r>
  <r>
    <m/>
    <x v="1"/>
    <x v="1"/>
    <x v="3"/>
    <x v="2"/>
    <s v="Vegetable poriyal"/>
    <n v="1"/>
    <m/>
    <x v="0"/>
  </r>
  <r>
    <m/>
    <x v="1"/>
    <x v="1"/>
    <x v="3"/>
    <x v="2"/>
    <s v="Rice with sambar and egg fry"/>
    <n v="1"/>
    <m/>
    <x v="1"/>
  </r>
  <r>
    <s v="CS-250514-0280"/>
    <x v="47"/>
    <x v="6"/>
    <x v="0"/>
    <x v="1"/>
    <s v="Fish meals"/>
    <n v="2"/>
    <n v="380"/>
    <x v="1"/>
  </r>
  <r>
    <s v="CS-250515-0300"/>
    <x v="48"/>
    <x v="7"/>
    <x v="0"/>
    <x v="0"/>
    <s v="Rice (750ml), Vendakkai kara kulambu (250ml), Beetroot poriyal(200ml), Rasam (100ml), Mor (100ml), Appalam, Pickle"/>
    <n v="1"/>
    <n v="12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126DAC-A978-4B16-B64A-18739FAE34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0:G422" firstHeaderRow="1" firstDataRow="2" firstDataCol="1"/>
  <pivotFields count="8">
    <pivotField showAll="0"/>
    <pivotField axis="axisRow" showAll="0">
      <items count="121">
        <item x="55"/>
        <item x="43"/>
        <item x="26"/>
        <item x="99"/>
        <item x="48"/>
        <item x="75"/>
        <item x="49"/>
        <item x="57"/>
        <item x="58"/>
        <item x="88"/>
        <item x="110"/>
        <item x="38"/>
        <item x="9"/>
        <item x="29"/>
        <item x="33"/>
        <item x="11"/>
        <item x="96"/>
        <item x="25"/>
        <item x="51"/>
        <item x="109"/>
        <item x="46"/>
        <item x="6"/>
        <item x="36"/>
        <item x="85"/>
        <item x="16"/>
        <item x="34"/>
        <item x="97"/>
        <item x="70"/>
        <item x="7"/>
        <item x="8"/>
        <item x="105"/>
        <item x="40"/>
        <item x="39"/>
        <item x="3"/>
        <item x="54"/>
        <item x="18"/>
        <item x="28"/>
        <item x="91"/>
        <item x="52"/>
        <item x="37"/>
        <item x="53"/>
        <item x="113"/>
        <item x="115"/>
        <item x="41"/>
        <item x="86"/>
        <item x="87"/>
        <item x="72"/>
        <item x="15"/>
        <item x="23"/>
        <item x="30"/>
        <item x="78"/>
        <item x="66"/>
        <item x="69"/>
        <item x="100"/>
        <item x="95"/>
        <item x="114"/>
        <item x="89"/>
        <item x="117"/>
        <item x="65"/>
        <item x="60"/>
        <item x="61"/>
        <item x="62"/>
        <item x="63"/>
        <item x="111"/>
        <item x="44"/>
        <item x="56"/>
        <item x="106"/>
        <item x="118"/>
        <item x="79"/>
        <item x="80"/>
        <item x="12"/>
        <item x="107"/>
        <item x="31"/>
        <item x="27"/>
        <item x="71"/>
        <item x="119"/>
        <item x="42"/>
        <item x="47"/>
        <item x="45"/>
        <item x="98"/>
        <item x="5"/>
        <item x="108"/>
        <item x="104"/>
        <item x="74"/>
        <item x="19"/>
        <item x="112"/>
        <item x="103"/>
        <item x="24"/>
        <item x="59"/>
        <item x="50"/>
        <item x="32"/>
        <item x="92"/>
        <item x="101"/>
        <item x="102"/>
        <item x="94"/>
        <item x="82"/>
        <item x="13"/>
        <item x="21"/>
        <item x="81"/>
        <item x="2"/>
        <item x="73"/>
        <item x="35"/>
        <item x="93"/>
        <item x="67"/>
        <item x="0"/>
        <item x="84"/>
        <item x="83"/>
        <item x="1"/>
        <item x="68"/>
        <item x="77"/>
        <item x="90"/>
        <item x="4"/>
        <item x="20"/>
        <item x="22"/>
        <item x="14"/>
        <item x="17"/>
        <item x="76"/>
        <item x="64"/>
        <item x="10"/>
        <item x="116"/>
        <item t="default"/>
      </items>
    </pivotField>
    <pivotField axis="axisCol" showAll="0">
      <items count="8">
        <item x="2"/>
        <item x="1"/>
        <item m="1" x="6"/>
        <item x="0"/>
        <item m="1" x="4"/>
        <item x="3"/>
        <item m="1" x="5"/>
        <item t="default"/>
      </items>
    </pivotField>
    <pivotField showAll="0"/>
    <pivotField numFmtId="20" showAll="0"/>
    <pivotField showAll="0"/>
    <pivotField showAll="0"/>
    <pivotField showAll="0"/>
  </pivotFields>
  <rowFields count="1">
    <field x="1"/>
  </rowFields>
  <rowItems count="1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t="grand">
      <x/>
    </i>
  </rowItems>
  <colFields count="1">
    <field x="2"/>
  </colFields>
  <colItems count="5">
    <i>
      <x/>
    </i>
    <i>
      <x v="1"/>
    </i>
    <i>
      <x v="3"/>
    </i>
    <i>
      <x v="5"/>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9433E9-BBEE-447F-B23E-E21B534D70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90:F295" firstHeaderRow="1" firstDataRow="1" firstDataCol="1"/>
  <pivotFields count="8">
    <pivotField showAll="0"/>
    <pivotField showAll="0"/>
    <pivotField axis="axisRow" showAll="0">
      <items count="8">
        <item x="2"/>
        <item x="1"/>
        <item m="1" x="6"/>
        <item x="0"/>
        <item m="1" x="4"/>
        <item x="3"/>
        <item m="1" x="5"/>
        <item t="default"/>
      </items>
    </pivotField>
    <pivotField showAll="0"/>
    <pivotField dataField="1" numFmtId="20" showAll="0"/>
    <pivotField showAll="0"/>
    <pivotField showAll="0"/>
    <pivotField showAll="0"/>
  </pivotFields>
  <rowFields count="1">
    <field x="2"/>
  </rowFields>
  <rowItems count="5">
    <i>
      <x/>
    </i>
    <i>
      <x v="1"/>
    </i>
    <i>
      <x v="3"/>
    </i>
    <i>
      <x v="5"/>
    </i>
    <i t="grand">
      <x/>
    </i>
  </rowItems>
  <colItems count="1">
    <i/>
  </colItems>
  <dataFields count="1">
    <dataField name="Average of Preparation Time (hr:min)" fld="4" subtotal="average" baseField="0" baseItem="0" numFmtId="20"/>
  </dataField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221FED-2CF4-4CF1-8210-B447E5E002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70:F275" firstHeaderRow="1" firstDataRow="1" firstDataCol="1"/>
  <pivotFields count="8">
    <pivotField showAll="0"/>
    <pivotField showAll="0"/>
    <pivotField axis="axisRow" showAll="0">
      <items count="8">
        <item x="2"/>
        <item x="1"/>
        <item m="1" x="6"/>
        <item x="0"/>
        <item m="1" x="4"/>
        <item x="3"/>
        <item m="1" x="5"/>
        <item t="default"/>
      </items>
    </pivotField>
    <pivotField showAll="0"/>
    <pivotField numFmtId="20" showAll="0"/>
    <pivotField dataField="1" showAll="0"/>
    <pivotField showAll="0"/>
    <pivotField showAll="0"/>
  </pivotFields>
  <rowFields count="1">
    <field x="2"/>
  </rowFields>
  <rowItems count="5">
    <i>
      <x/>
    </i>
    <i>
      <x v="1"/>
    </i>
    <i>
      <x v="3"/>
    </i>
    <i>
      <x v="5"/>
    </i>
    <i t="grand">
      <x/>
    </i>
  </rowItems>
  <colItems count="1">
    <i/>
  </colItems>
  <dataFields count="1">
    <dataField name="Average of Selling Price (Rupees)" fld="5" subtotal="average" baseField="3" baseItem="0"/>
  </dataField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9DC5EE-8B8F-4BEA-899F-7A658DEE9B18}"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137:O160" firstHeaderRow="1" firstDataRow="1" firstDataCol="1"/>
  <pivotFields count="11">
    <pivotField showAll="0"/>
    <pivotField showAll="0"/>
    <pivotField showAll="0"/>
    <pivotField showAll="0"/>
    <pivotField showAll="0"/>
    <pivotField axis="axisRow" dataField="1" showAll="0" measureFilter="1">
      <items count="157">
        <item x="38"/>
        <item x="69"/>
        <item x="70"/>
        <item x="40"/>
        <item x="137"/>
        <item x="60"/>
        <item x="4"/>
        <item x="66"/>
        <item x="88"/>
        <item x="134"/>
        <item x="91"/>
        <item x="50"/>
        <item x="67"/>
        <item x="48"/>
        <item x="23"/>
        <item x="54"/>
        <item x="108"/>
        <item x="36"/>
        <item x="106"/>
        <item x="98"/>
        <item x="94"/>
        <item x="135"/>
        <item x="34"/>
        <item x="149"/>
        <item x="81"/>
        <item x="49"/>
        <item x="124"/>
        <item x="25"/>
        <item x="46"/>
        <item x="131"/>
        <item x="1"/>
        <item x="8"/>
        <item x="58"/>
        <item x="115"/>
        <item x="57"/>
        <item x="136"/>
        <item x="82"/>
        <item x="114"/>
        <item x="148"/>
        <item x="79"/>
        <item x="155"/>
        <item x="37"/>
        <item x="13"/>
        <item x="95"/>
        <item x="151"/>
        <item x="43"/>
        <item x="138"/>
        <item x="107"/>
        <item x="27"/>
        <item x="45"/>
        <item x="109"/>
        <item x="143"/>
        <item x="21"/>
        <item x="83"/>
        <item x="33"/>
        <item x="112"/>
        <item x="152"/>
        <item x="62"/>
        <item x="80"/>
        <item x="90"/>
        <item x="84"/>
        <item x="123"/>
        <item x="104"/>
        <item x="141"/>
        <item x="32"/>
        <item x="74"/>
        <item x="93"/>
        <item x="31"/>
        <item x="121"/>
        <item x="72"/>
        <item x="145"/>
        <item x="17"/>
        <item x="128"/>
        <item x="86"/>
        <item x="28"/>
        <item x="127"/>
        <item x="76"/>
        <item x="71"/>
        <item x="11"/>
        <item x="150"/>
        <item x="16"/>
        <item x="51"/>
        <item x="125"/>
        <item x="30"/>
        <item x="102"/>
        <item x="153"/>
        <item x="10"/>
        <item x="110"/>
        <item x="2"/>
        <item x="61"/>
        <item x="22"/>
        <item x="140"/>
        <item x="144"/>
        <item x="118"/>
        <item x="142"/>
        <item x="139"/>
        <item x="129"/>
        <item x="119"/>
        <item x="122"/>
        <item x="113"/>
        <item x="126"/>
        <item x="117"/>
        <item x="41"/>
        <item x="63"/>
        <item x="65"/>
        <item x="75"/>
        <item x="52"/>
        <item x="130"/>
        <item x="146"/>
        <item x="7"/>
        <item x="39"/>
        <item x="101"/>
        <item x="18"/>
        <item x="56"/>
        <item x="12"/>
        <item x="0"/>
        <item x="24"/>
        <item x="77"/>
        <item x="89"/>
        <item x="116"/>
        <item x="78"/>
        <item x="5"/>
        <item x="120"/>
        <item x="87"/>
        <item x="97"/>
        <item x="73"/>
        <item x="3"/>
        <item x="111"/>
        <item x="14"/>
        <item x="44"/>
        <item x="42"/>
        <item x="53"/>
        <item x="26"/>
        <item x="105"/>
        <item x="59"/>
        <item x="133"/>
        <item x="68"/>
        <item x="19"/>
        <item x="15"/>
        <item x="99"/>
        <item x="100"/>
        <item x="64"/>
        <item x="103"/>
        <item x="147"/>
        <item x="29"/>
        <item x="9"/>
        <item x="6"/>
        <item x="154"/>
        <item x="55"/>
        <item x="132"/>
        <item x="92"/>
        <item x="85"/>
        <item x="20"/>
        <item x="35"/>
        <item x="96"/>
        <item x="47"/>
        <item t="default"/>
      </items>
    </pivotField>
    <pivotField showAll="0"/>
    <pivotField showAll="0"/>
    <pivotField showAll="0"/>
    <pivotField numFmtId="164" showAll="0"/>
    <pivotField axis="axisRow" showAll="0" measureFilter="1">
      <items count="3">
        <item x="0"/>
        <item x="1"/>
        <item t="default"/>
      </items>
    </pivotField>
  </pivotFields>
  <rowFields count="2">
    <field x="10"/>
    <field x="5"/>
  </rowFields>
  <rowItems count="23">
    <i>
      <x/>
    </i>
    <i r="1">
      <x v="88"/>
    </i>
    <i r="1">
      <x v="128"/>
    </i>
    <i r="1">
      <x v="14"/>
    </i>
    <i r="1">
      <x v="41"/>
    </i>
    <i r="1">
      <x v="126"/>
    </i>
    <i r="1">
      <x v="148"/>
    </i>
    <i r="1">
      <x v="129"/>
    </i>
    <i r="1">
      <x v="52"/>
    </i>
    <i r="1">
      <x v="7"/>
    </i>
    <i r="1">
      <x v="78"/>
    </i>
    <i>
      <x v="1"/>
    </i>
    <i r="1">
      <x v="49"/>
    </i>
    <i r="1">
      <x v="11"/>
    </i>
    <i r="1">
      <x v="145"/>
    </i>
    <i r="1">
      <x v="17"/>
    </i>
    <i r="1">
      <x v="153"/>
    </i>
    <i r="1">
      <x v="10"/>
    </i>
    <i r="1">
      <x v="89"/>
    </i>
    <i r="1">
      <x v="48"/>
    </i>
    <i r="1">
      <x v="142"/>
    </i>
    <i r="1">
      <x v="150"/>
    </i>
    <i t="grand">
      <x/>
    </i>
  </rowItems>
  <colItems count="1">
    <i/>
  </colItems>
  <dataFields count="1">
    <dataField name="Count of DISH NAME" fld="5" subtotal="count" baseField="0" baseItem="0"/>
  </dataField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0" type="count" evalOrder="-1" id="2" iMeasureFld="0">
      <autoFilter ref="A1">
        <filterColumn colId="0">
          <top10 val="10" filterVal="10"/>
        </filterColumn>
      </autoFilter>
    </filter>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B15860-5825-44A8-B145-38B3B3391A28}" name="PivotTable2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12:R121" firstHeaderRow="1" firstDataRow="2" firstDataCol="1"/>
  <pivotFields count="11">
    <pivotField dataField="1"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axis="axisRow" showAll="0">
      <items count="9">
        <item x="7"/>
        <item x="0"/>
        <item x="2"/>
        <item x="3"/>
        <item x="4"/>
        <item x="5"/>
        <item x="6"/>
        <item h="1" x="1"/>
        <item t="default"/>
      </items>
    </pivotField>
    <pivotField axis="axisCol" showAll="0">
      <items count="5">
        <item x="2"/>
        <item x="1"/>
        <item x="0"/>
        <item x="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Fields count="1">
    <field x="3"/>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6A022E-5F88-4A67-86EB-262D4A37091F}"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24:R374" firstHeaderRow="1" firstDataRow="2" firstDataCol="1"/>
  <pivotFields count="11">
    <pivotField showAll="0"/>
    <pivotField axis="axisRow"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h="1" x="1"/>
        <item t="default"/>
      </items>
    </pivotField>
    <pivotField showAll="0"/>
    <pivotField axis="axisCol" showAll="0">
      <items count="5">
        <item x="2"/>
        <item x="1"/>
        <item x="0"/>
        <item x="3"/>
        <item t="default"/>
      </items>
    </pivotField>
    <pivotField showAll="0"/>
    <pivotField showAll="0"/>
    <pivotField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3"/>
  </colFields>
  <colItems count="4">
    <i>
      <x/>
    </i>
    <i>
      <x v="1"/>
    </i>
    <i>
      <x v="2"/>
    </i>
    <i t="grand">
      <x/>
    </i>
  </colItems>
  <dataFields count="1">
    <dataField name="Sum of ORDER VALUE" fld="7" baseField="0" baseItem="0"/>
  </dataFields>
  <chartFormats count="3">
    <chartFormat chart="3" format="20" series="1">
      <pivotArea type="data" outline="0" fieldPosition="0">
        <references count="2">
          <reference field="4294967294" count="1" selected="0">
            <x v="0"/>
          </reference>
          <reference field="3" count="1" selected="0">
            <x v="0"/>
          </reference>
        </references>
      </pivotArea>
    </chartFormat>
    <chartFormat chart="3" format="21" series="1">
      <pivotArea type="data" outline="0" fieldPosition="0">
        <references count="2">
          <reference field="4294967294" count="1" selected="0">
            <x v="0"/>
          </reference>
          <reference field="3" count="1" selected="0">
            <x v="1"/>
          </reference>
        </references>
      </pivotArea>
    </chartFormat>
    <chartFormat chart="3" format="2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4306AD-3148-465F-94A8-400DFAD088EC}"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253:O262" firstHeaderRow="1" firstDataRow="1" firstDataCol="1"/>
  <pivotFields count="11">
    <pivotField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axis="axisRow" showAll="0">
      <items count="9">
        <item x="7"/>
        <item x="0"/>
        <item x="2"/>
        <item x="3"/>
        <item x="4"/>
        <item x="5"/>
        <item x="6"/>
        <item x="1"/>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5"/>
    </i>
    <i>
      <x v="6"/>
    </i>
    <i>
      <x v="7"/>
    </i>
    <i t="grand">
      <x/>
    </i>
  </rowItems>
  <colItems count="1">
    <i/>
  </colItems>
  <dataFields count="1">
    <dataField name="Sum of ORDER VALUE" fld="7" baseField="0" baseItem="0"/>
  </dataFields>
  <chartFormats count="1">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CEFA3F-7268-4F71-AC4A-C1161FA1BED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93:Q102" firstHeaderRow="1" firstDataRow="2" firstDataCol="1"/>
  <pivotFields count="11">
    <pivotField dataField="1"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axis="axisRow" showAll="0">
      <items count="9">
        <item x="7"/>
        <item x="0"/>
        <item x="2"/>
        <item x="3"/>
        <item x="4"/>
        <item x="5"/>
        <item x="6"/>
        <item h="1" x="1"/>
        <item t="default"/>
      </items>
    </pivotField>
    <pivotField showAll="0"/>
    <pivotField axis="axisCol" showAll="0">
      <items count="4">
        <item x="1"/>
        <item x="0"/>
        <item x="2"/>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Fields count="1">
    <field x="4"/>
  </colFields>
  <colItems count="3">
    <i>
      <x/>
    </i>
    <i>
      <x v="1"/>
    </i>
    <i t="grand">
      <x/>
    </i>
  </colItems>
  <dataFields count="1">
    <dataField name="Count of ORDER ID" fld="0" subtotal="count" baseField="0" baseItem="0"/>
  </dataFields>
  <chartFormats count="2">
    <chartFormat chart="3" format="14" series="1">
      <pivotArea type="data" outline="0" fieldPosition="0">
        <references count="2">
          <reference field="4294967294" count="1" selected="0">
            <x v="0"/>
          </reference>
          <reference field="4" count="1" selected="0">
            <x v="0"/>
          </reference>
        </references>
      </pivotArea>
    </chartFormat>
    <chartFormat chart="3" format="1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6D96E3-C379-4C5F-B50E-88AAD233027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17:O66" firstHeaderRow="1" firstDataRow="1" firstDataCol="1"/>
  <pivotFields count="11">
    <pivotField dataField="1" showAll="0"/>
    <pivotField axis="axisRow" showAll="0" sortType="ascending">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h="1" x="1"/>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ORDER ID" fld="0" subtotal="count" baseField="1" baseItem="0"/>
  </dataFields>
  <chartFormats count="1">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8EB84A-A7B5-4C8A-9AA0-635CC1B3538F}"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72:P80" firstHeaderRow="0" firstDataRow="1" firstDataCol="1"/>
  <pivotFields count="11">
    <pivotField dataField="1"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axis="axisRow" showAll="0">
      <items count="9">
        <item x="7"/>
        <item x="0"/>
        <item x="2"/>
        <item x="3"/>
        <item x="4"/>
        <item x="5"/>
        <item x="6"/>
        <item h="1" x="1"/>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Fields count="1">
    <field x="-2"/>
  </colFields>
  <colItems count="2">
    <i>
      <x/>
    </i>
    <i i="1">
      <x v="1"/>
    </i>
  </colItems>
  <dataFields count="2">
    <dataField name="Count of ORDER ID" fld="0" subtotal="count" baseField="0" baseItem="0"/>
    <dataField name="Count of ORDER ID2" fld="0" subtotal="count" showDataAs="percentOfTotal" baseField="2" baseItem="0" numFmtId="10"/>
  </dataFields>
  <chartFormats count="9">
    <chartFormat chart="14" format="36" series="1">
      <pivotArea type="data" outline="0" fieldPosition="0">
        <references count="1">
          <reference field="4294967294" count="1" selected="0">
            <x v="0"/>
          </reference>
        </references>
      </pivotArea>
    </chartFormat>
    <chartFormat chart="14" format="37" series="1">
      <pivotArea type="data" outline="0" fieldPosition="0">
        <references count="1">
          <reference field="4294967294" count="1" selected="0">
            <x v="1"/>
          </reference>
        </references>
      </pivotArea>
    </chartFormat>
    <chartFormat chart="14" format="38">
      <pivotArea type="data" outline="0" fieldPosition="0">
        <references count="2">
          <reference field="4294967294" count="1" selected="0">
            <x v="1"/>
          </reference>
          <reference field="2" count="1" selected="0">
            <x v="0"/>
          </reference>
        </references>
      </pivotArea>
    </chartFormat>
    <chartFormat chart="14" format="39">
      <pivotArea type="data" outline="0" fieldPosition="0">
        <references count="2">
          <reference field="4294967294" count="1" selected="0">
            <x v="1"/>
          </reference>
          <reference field="2" count="1" selected="0">
            <x v="1"/>
          </reference>
        </references>
      </pivotArea>
    </chartFormat>
    <chartFormat chart="14" format="40">
      <pivotArea type="data" outline="0" fieldPosition="0">
        <references count="2">
          <reference field="4294967294" count="1" selected="0">
            <x v="1"/>
          </reference>
          <reference field="2" count="1" selected="0">
            <x v="2"/>
          </reference>
        </references>
      </pivotArea>
    </chartFormat>
    <chartFormat chart="14" format="41">
      <pivotArea type="data" outline="0" fieldPosition="0">
        <references count="2">
          <reference field="4294967294" count="1" selected="0">
            <x v="1"/>
          </reference>
          <reference field="2" count="1" selected="0">
            <x v="3"/>
          </reference>
        </references>
      </pivotArea>
    </chartFormat>
    <chartFormat chart="14" format="42">
      <pivotArea type="data" outline="0" fieldPosition="0">
        <references count="2">
          <reference field="4294967294" count="1" selected="0">
            <x v="1"/>
          </reference>
          <reference field="2" count="1" selected="0">
            <x v="4"/>
          </reference>
        </references>
      </pivotArea>
    </chartFormat>
    <chartFormat chart="14" format="43">
      <pivotArea type="data" outline="0" fieldPosition="0">
        <references count="2">
          <reference field="4294967294" count="1" selected="0">
            <x v="1"/>
          </reference>
          <reference field="2" count="1" selected="0">
            <x v="5"/>
          </reference>
        </references>
      </pivotArea>
    </chartFormat>
    <chartFormat chart="14" format="44">
      <pivotArea type="data" outline="0" fieldPosition="0">
        <references count="2">
          <reference field="4294967294" count="1" selected="0">
            <x v="1"/>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223813-8B53-411A-BFD9-EBD12B4EF763}" name="PivotTable2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80:P389" firstHeaderRow="0" firstDataRow="1" firstDataCol="1"/>
  <pivotFields count="11">
    <pivotField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showAll="0"/>
    <pivotField showAll="0"/>
    <pivotField axis="axisRow" showAll="0">
      <items count="4">
        <item x="1"/>
        <item x="0"/>
        <item x="2"/>
        <item t="default"/>
      </items>
    </pivotField>
    <pivotField showAll="0"/>
    <pivotField showAll="0"/>
    <pivotField dataField="1" showAll="0"/>
    <pivotField axis="axisRow" dataField="1" showAll="0">
      <items count="4">
        <item x="1"/>
        <item x="0"/>
        <item m="1"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8"/>
    <field x="4"/>
  </rowFields>
  <rowItems count="9">
    <i>
      <x/>
    </i>
    <i r="1">
      <x/>
    </i>
    <i r="1">
      <x v="1"/>
    </i>
    <i r="1">
      <x v="2"/>
    </i>
    <i>
      <x v="1"/>
    </i>
    <i r="1">
      <x/>
    </i>
    <i r="1">
      <x v="1"/>
    </i>
    <i r="1">
      <x v="2"/>
    </i>
    <i t="grand">
      <x/>
    </i>
  </rowItems>
  <colFields count="1">
    <field x="-2"/>
  </colFields>
  <colItems count="2">
    <i>
      <x/>
    </i>
    <i i="1">
      <x v="1"/>
    </i>
  </colItems>
  <dataFields count="2">
    <dataField name="Count of CLASSIFICATION(Veg/Non-veg/Beverage)" fld="8" subtotal="count" baseField="0" baseItem="0"/>
    <dataField name="Sum of ORDER VALUE" fld="7" baseField="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14D3F0-B87A-4B8A-BEE2-BFAEF85785D5}" name="PivotTable2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185:P234" firstHeaderRow="0" firstDataRow="1" firstDataCol="1"/>
  <pivotFields count="11">
    <pivotField dataField="1" showAll="0"/>
    <pivotField axis="axisRow" showAll="0" sortType="descending">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h="1"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9">
    <i>
      <x v="5"/>
    </i>
    <i>
      <x v="7"/>
    </i>
    <i>
      <x v="37"/>
    </i>
    <i>
      <x v="8"/>
    </i>
    <i>
      <x v="3"/>
    </i>
    <i>
      <x v="42"/>
    </i>
    <i>
      <x v="29"/>
    </i>
    <i>
      <x v="4"/>
    </i>
    <i>
      <x v="19"/>
    </i>
    <i>
      <x v="6"/>
    </i>
    <i>
      <x v="18"/>
    </i>
    <i>
      <x v="39"/>
    </i>
    <i>
      <x v="12"/>
    </i>
    <i>
      <x v="17"/>
    </i>
    <i>
      <x v="9"/>
    </i>
    <i>
      <x v="30"/>
    </i>
    <i>
      <x v="2"/>
    </i>
    <i>
      <x v="25"/>
    </i>
    <i>
      <x v="26"/>
    </i>
    <i>
      <x v="41"/>
    </i>
    <i>
      <x v="15"/>
    </i>
    <i>
      <x v="27"/>
    </i>
    <i>
      <x v="38"/>
    </i>
    <i>
      <x v="43"/>
    </i>
    <i>
      <x v="23"/>
    </i>
    <i>
      <x v="36"/>
    </i>
    <i>
      <x v="28"/>
    </i>
    <i>
      <x v="40"/>
    </i>
    <i>
      <x v="22"/>
    </i>
    <i>
      <x v="16"/>
    </i>
    <i>
      <x v="35"/>
    </i>
    <i>
      <x v="11"/>
    </i>
    <i>
      <x v="34"/>
    </i>
    <i>
      <x v="14"/>
    </i>
    <i>
      <x v="1"/>
    </i>
    <i>
      <x/>
    </i>
    <i>
      <x v="21"/>
    </i>
    <i>
      <x v="44"/>
    </i>
    <i>
      <x v="13"/>
    </i>
    <i>
      <x v="10"/>
    </i>
    <i>
      <x v="24"/>
    </i>
    <i>
      <x v="20"/>
    </i>
    <i>
      <x v="45"/>
    </i>
    <i>
      <x v="46"/>
    </i>
    <i>
      <x v="33"/>
    </i>
    <i>
      <x v="32"/>
    </i>
    <i>
      <x v="31"/>
    </i>
    <i>
      <x v="47"/>
    </i>
    <i t="grand">
      <x/>
    </i>
  </rowItems>
  <colFields count="1">
    <field x="-2"/>
  </colFields>
  <colItems count="2">
    <i>
      <x/>
    </i>
    <i i="1">
      <x v="1"/>
    </i>
  </colItems>
  <dataFields count="2">
    <dataField name="Total Orders" fld="0" subtotal="count" baseField="1" baseItem="0"/>
    <dataField name="Total Revenue" fld="7" baseField="1" baseItem="0"/>
  </dataFields>
  <chartFormats count="2">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E67140-5019-47D6-8628-A19744C0F8CA}"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39:O242" firstHeaderRow="1" firstDataRow="1" firstDataCol="1"/>
  <pivotFields count="11">
    <pivotField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showAll="0"/>
    <pivotField showAll="0"/>
    <pivotField axis="axisRow" dataField="1" showAll="0">
      <items count="4">
        <item x="1"/>
        <item x="0"/>
        <item h="1" x="2"/>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Count of TYPE(SUBSCRIPTION/REGULA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3C9302-76F9-46B4-B810-433A16C4BA0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71:O174" firstHeaderRow="1" firstDataRow="1" firstDataCol="1"/>
  <pivotFields count="11">
    <pivotField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showAll="0"/>
    <pivotField showAll="0"/>
    <pivotField showAll="0"/>
    <pivotField showAll="0"/>
    <pivotField showAll="0"/>
    <pivotField showAll="0"/>
    <pivotField axis="axisRow" dataField="1" showAll="0">
      <items count="4">
        <item x="1"/>
        <item x="0"/>
        <item m="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t="grand">
      <x/>
    </i>
  </rowItems>
  <colItems count="1">
    <i/>
  </colItems>
  <dataFields count="1">
    <dataField name="Count of CLASSIFICATION(Veg/Non-veg)" fld="8" subtotal="count" baseField="0" baseItem="0"/>
  </dataFields>
  <chartFormats count="3">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FA6BBCC-4647-4916-BD32-4F9E637D5EB0}"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67:O317" firstHeaderRow="1" firstDataRow="1" firstDataCol="1"/>
  <pivotFields count="11">
    <pivotField showAll="0"/>
    <pivotField axis="axisRow"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ORDER VALUE" fld="7"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70EB68-5D35-469A-AA3E-8BAFCAD56D1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6:M20" firstHeaderRow="0" firstDataRow="1" firstDataCol="1"/>
  <pivotFields count="11">
    <pivotField dataField="1"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showAll="0"/>
    <pivotField axis="axisRow" showAll="0">
      <items count="5">
        <item x="2"/>
        <item x="1"/>
        <item x="0"/>
        <item h="1" x="3"/>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Fields count="1">
    <field x="-2"/>
  </colFields>
  <colItems count="2">
    <i>
      <x/>
    </i>
    <i i="1">
      <x v="1"/>
    </i>
  </colItems>
  <dataFields count="2">
    <dataField name="NUMBER OF ORDERS" fld="0" subtotal="count" baseField="0" baseItem="0"/>
    <dataField name="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F01945F-50A6-4004-B19F-C7D0EF2F6B3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12" firstHeaderRow="1" firstDataRow="1" firstDataCol="1"/>
  <pivotFields count="11">
    <pivotField dataField="1"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axis="axisRow" showAll="0">
      <items count="9">
        <item x="7"/>
        <item x="0"/>
        <item x="2"/>
        <item x="3"/>
        <item x="4"/>
        <item x="5"/>
        <item x="6"/>
        <item h="1" x="1"/>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F8360D5-A70D-4ABB-BA76-2BC0A73C1D3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I53" firstHeaderRow="0" firstDataRow="1" firstDataCol="1"/>
  <pivotFields count="11">
    <pivotField dataField="1" showAll="0"/>
    <pivotField axis="axisRow"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h="1" x="1"/>
        <item t="default"/>
      </items>
    </pivotField>
    <pivotField showAll="0"/>
    <pivotField showAll="0"/>
    <pivotField showAll="0"/>
    <pivotField showAll="0"/>
    <pivotField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x="0"/>
        <item sd="0" x="1"/>
        <item sd="0" x="2"/>
        <item sd="0" x="3"/>
        <item x="4"/>
        <item sd="0" x="5"/>
        <item sd="0" x="6"/>
        <item sd="0" x="7"/>
        <item sd="0" x="8"/>
        <item sd="0" x="9"/>
        <item sd="0" x="10"/>
        <item sd="0" x="11"/>
        <item sd="0" x="12"/>
        <item sd="0" x="13"/>
      </items>
    </pivotField>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Count of ORDER ID" fld="0" subtotal="count" baseField="0" baseItem="0"/>
    <dataField name="Sum of ORDER VAL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6A48815-4AD1-41F1-B59D-B09359883A5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1:L34" firstHeaderRow="1" firstDataRow="1" firstDataCol="1"/>
  <pivotFields count="11">
    <pivotField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showAll="0"/>
    <pivotField showAll="0"/>
    <pivotField showAll="0"/>
    <pivotField showAll="0"/>
    <pivotField showAll="0"/>
    <pivotField showAll="0"/>
    <pivotField axis="axisRow" dataField="1" showAll="0">
      <items count="4">
        <item x="1"/>
        <item x="0"/>
        <item m="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t="grand">
      <x/>
    </i>
  </rowItems>
  <colItems count="1">
    <i/>
  </colItems>
  <dataFields count="1">
    <dataField name="No.Of Items" fld="8" subtotal="count" baseField="0" baseItem="0"/>
  </dataFields>
  <chartFormats count="3">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6F65928-D54E-46D2-9701-4000D5F7204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4:M27" firstHeaderRow="0" firstDataRow="1" firstDataCol="1"/>
  <pivotFields count="11">
    <pivotField dataField="1" showAll="0"/>
    <pivotField showAll="0">
      <items count="50">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1"/>
        <item t="default"/>
      </items>
    </pivotField>
    <pivotField showAll="0"/>
    <pivotField showAll="0"/>
    <pivotField axis="axisRow" showAll="0">
      <items count="4">
        <item x="1"/>
        <item x="0"/>
        <item h="1" x="2"/>
        <item t="default"/>
      </items>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i>
    <i>
      <x v="1"/>
    </i>
    <i t="grand">
      <x/>
    </i>
  </rowItems>
  <colFields count="1">
    <field x="-2"/>
  </colFields>
  <colItems count="2">
    <i>
      <x/>
    </i>
    <i i="1">
      <x v="1"/>
    </i>
  </colItems>
  <dataFields count="2">
    <dataField name="NUMBER OF ORDERS" fld="0" subtotal="count" baseField="0" baseItem="0"/>
    <dataField name="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203408-F4B5-439F-8DEF-552B2B89F45C}" name="Table1" displayName="Table1" ref="A1:I264" totalsRowShown="0">
  <autoFilter ref="A1:I264" xr:uid="{76203408-F4B5-439F-8DEF-552B2B89F45C}"/>
  <tableColumns count="9">
    <tableColumn id="1" xr3:uid="{428ABDEC-C91E-4F70-A36E-4EA0DB4382D3}" name="DishID" dataDxfId="23"/>
    <tableColumn id="2" xr3:uid="{53061062-D0FD-47B9-9AF9-DB33E2EB5491}" name="DishName"/>
    <tableColumn id="3" xr3:uid="{CF906B32-576B-492D-9987-9FA2DE41DD27}" name="Category(Breakfast/Lunch/Dinner/Snack)"/>
    <tableColumn id="4" xr3:uid="{9A180965-BE78-454A-BF9F-91F559E35122}" name="Classification(Veg/Non-veg/Beverage)"/>
    <tableColumn id="5" xr3:uid="{00CB21E3-10EC-4315-9F4B-E23C0A85614B}" name="PreparationTime(hr:min)" dataDxfId="22"/>
    <tableColumn id="6" xr3:uid="{32A4D92D-317C-4838-815F-163CEB8F5F06}" name="SellingPrice(Rupees)"/>
    <tableColumn id="7" xr3:uid="{543414E8-6741-44B7-9739-8A16A8D3FE49}" name="Ingredients (Per Serving)"/>
    <tableColumn id="8" xr3:uid="{27CE57DA-3821-4F21-9FBC-E625E4822A43}" name="Description"/>
    <tableColumn id="9" xr3:uid="{1FAB70EC-BF0B-4CB8-B566-72C038DCE2A7}" name="Speed of Preparation" dataDxfId="21">
      <calculatedColumnFormula array="1">IF(Table1[[#This Row],[PreparationTime(hr:min)]]&lt;TIMEVALUE("01:00"), Quick, Slow)</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7F1580-0F92-46FF-AC5D-3BEBBF4AF3DB}" name="Table2" displayName="Table2" ref="E277:F280" totalsRowShown="0">
  <autoFilter ref="E277:F280" xr:uid="{AC7F1580-0F92-46FF-AC5D-3BEBBF4AF3DB}"/>
  <tableColumns count="2">
    <tableColumn id="1" xr3:uid="{2B180B73-796E-43D5-B60C-AA7890D71D60}" name="Speed" dataDxfId="20"/>
    <tableColumn id="2" xr3:uid="{A6A97040-504E-496D-A587-57E988B71CFA}" name="Criteria"/>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031A27-3FCF-4F71-98D1-C9ED0E5EA5E4}" name="Table5" displayName="Table5" ref="A1:K881" totalsRowShown="0">
  <autoFilter ref="A1:K881" xr:uid="{D2031A27-3FCF-4F71-98D1-C9ED0E5EA5E4}">
    <filterColumn colId="10">
      <filters>
        <filter val="SUBSCRIPTION"/>
      </filters>
    </filterColumn>
  </autoFilter>
  <tableColumns count="11">
    <tableColumn id="1" xr3:uid="{E59E4699-214F-4233-B291-E505AEA9B9D6}" name="ORDER ID"/>
    <tableColumn id="2" xr3:uid="{B33A049E-2AC8-48C5-99E9-55168E35F9CA}" name="DATE" dataDxfId="19"/>
    <tableColumn id="3" xr3:uid="{DB904A6D-1C8E-490F-913C-9E303EA88D16}" name="DAY"/>
    <tableColumn id="7" xr3:uid="{F83A1B93-8AD5-4083-A4D0-691E194A1731}" name="CATEGORY(BREAKFAST/LUNCH/SNACKS/DINNER)"/>
    <tableColumn id="8" xr3:uid="{40F638C4-7EA8-4563-9F37-110BB141484C}" name="TYPE(SUBSCRIPTION/REGULAR)"/>
    <tableColumn id="4" xr3:uid="{DA3FD86C-BF58-4B4E-9498-2780C1745872}" name="DISH NAME"/>
    <tableColumn id="5" xr3:uid="{ADD3052C-6028-4821-8641-BA465793E9E4}" name="QUANTITY" dataDxfId="18"/>
    <tableColumn id="6" xr3:uid="{602AE227-1172-46DC-917D-C10CA3F7AC33}" name="ORDER VALUE" dataDxfId="17"/>
    <tableColumn id="9" xr3:uid="{07B682D5-663A-435A-9E5E-9518D70BC60B}" name="CLASSIFICATION(Veg/Non-veg/Beverage)"/>
    <tableColumn id="10" xr3:uid="{17AF4161-C9BD-4172-AFD3-0008D436C5BC}" name="Date2" dataDxfId="16"/>
    <tableColumn id="11" xr3:uid="{56D194D6-0285-44C4-B43B-5CC67D2D45D0}" name="TYPE_FIXED" dataDxfId="15">
      <calculatedColumnFormula>IF(E2&lt;&gt;"", E2, K1)</calculatedColumnFormula>
    </tableColumn>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D5F3770-03A5-49C8-AAE3-E72E6391EFE7}" name="Table7" displayName="Table7" ref="L3:M14" totalsRowShown="0">
  <autoFilter ref="L3:M14" xr:uid="{6D5F3770-03A5-49C8-AAE3-E72E6391EFE7}">
    <filterColumn colId="0" hiddenButton="1"/>
    <filterColumn colId="1" hiddenButton="1"/>
  </autoFilter>
  <tableColumns count="2">
    <tableColumn id="1" xr3:uid="{73101275-2BA3-4E13-B96F-BF60A3CE4D78}" name="METRIC"/>
    <tableColumn id="2" xr3:uid="{4507AF9E-674E-4734-A950-88B003A0FB94}" name="VALUE"/>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E6D15B-258B-41A6-98CD-0F3C4371120E}" name="Table9" displayName="Table9" ref="Q380:R383" totalsRowShown="0" headerRowDxfId="14">
  <autoFilter ref="Q380:R383" xr:uid="{C2E6D15B-258B-41A6-98CD-0F3C4371120E}"/>
  <tableColumns count="2">
    <tableColumn id="1" xr3:uid="{318FEF52-A48A-4B35-ABE7-36667C193B88}" name="Percentage of Rate (%)"/>
    <tableColumn id="2" xr3:uid="{18E77BDA-115B-47BE-8190-1FA538C35027}" name="Percentage of Orders (%)"/>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B395006-2FBC-456D-8402-7D482FEE3960}" name="Table10" displayName="Table10" ref="Q385:R387" totalsRowShown="0">
  <autoFilter ref="Q385:R387" xr:uid="{0B395006-2FBC-456D-8402-7D482FEE3960}"/>
  <tableColumns count="2">
    <tableColumn id="1" xr3:uid="{CE1D7A4C-535E-418B-A919-B402695F1929}" name="Percentage of revenue %">
      <calculatedColumnFormula>(GETPIVOTDATA("Sum of ORDER VALUE",$N$380,"TYPE(SUBSCRIPTION/REGULAR)","SUBSCRIPTION","CLASSIFICATION(Veg/Non-veg/Beverage)","Non-veg")+GETPIVOTDATA("Sum of ORDER VALUE",$N$380,"TYPE(SUBSCRIPTION/REGULAR)","SUBSCRIPTION","CLASSIFICATION(Veg/Non-veg/Beverage)","Veg"))/GETPIVOTDATA("Sum of ORDER VALUE",$N$380)*100</calculatedColumnFormula>
    </tableColumn>
    <tableColumn id="2" xr3:uid="{DC7173E0-6113-4C06-AF9B-BEBA26485E3A}" name="Type"/>
  </tableColumns>
  <tableStyleInfo name="TableStyleLight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F8E03A3-F95E-4BEF-8530-55645129740A}" name="Table12" displayName="Table12" ref="A1:E49" totalsRowShown="0" headerRowDxfId="13">
  <autoFilter ref="A1:E49" xr:uid="{9F8E03A3-F95E-4BEF-8530-55645129740A}">
    <filterColumn colId="0" hiddenButton="1"/>
    <filterColumn colId="1" hiddenButton="1"/>
    <filterColumn colId="2" hiddenButton="1"/>
    <filterColumn colId="3" hiddenButton="1"/>
    <filterColumn colId="4" hiddenButton="1"/>
  </autoFilter>
  <tableColumns count="5">
    <tableColumn id="1" xr3:uid="{70A772B1-A838-425C-B537-1A93808FBBEF}" name="Date" dataDxfId="12"/>
    <tableColumn id="2" xr3:uid="{106219A8-B8DB-4CF5-8312-3B476824B5EB}" name="Daily Orders"/>
    <tableColumn id="3" xr3:uid="{B406CFB9-2236-49DC-8D5F-5F4301E818E1}" name="7-Day Moving Average"/>
    <tableColumn id="4" xr3:uid="{44DB9AC7-9351-49C1-9F51-6124222765C8}" name="Exponential Smoothing">
      <calculatedColumnFormula>0.3*B1+0.7*D1</calculatedColumnFormula>
    </tableColumn>
    <tableColumn id="5" xr3:uid="{A1C18C95-DC13-4060-907B-1BEBF5BBE070}" name="MAPE %">
      <calculatedColumnFormula>ABS(B2-D1)/B2*100</calculatedColumnFormula>
    </tableColumn>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2CA0BA-8195-45B8-B876-3E41D21A908D}" name="Table13" displayName="Table13" ref="A1:H17" totalsRowShown="0" headerRowDxfId="11">
  <autoFilter ref="A1:H17" xr:uid="{A32CA0BA-8195-45B8-B876-3E41D21A908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A2:H17">
    <sortCondition descending="1" ref="F2:F17"/>
  </sortState>
  <tableColumns count="8">
    <tableColumn id="1" xr3:uid="{9FD5C03B-AD83-441E-9ECB-8BDA04EC83D7}" name="Ingredient" dataDxfId="10"/>
    <tableColumn id="2" xr3:uid="{B1F5E673-F902-4E9F-BA71-20642D317361}" name="Local Cost (per kg/unit)" dataDxfId="9"/>
    <tableColumn id="3" xr3:uid="{68AFC66C-9CF1-44F6-9827-B33AFD61AC99}" name="Est. Monthly Usage" dataDxfId="8"/>
    <tableColumn id="4" xr3:uid="{D6596F03-376B-4C0F-B4A8-26548471706E}" name="(Units)" dataDxfId="7"/>
    <tableColumn id="5" xr3:uid="{56DDD94E-42D2-4450-81C2-AD674314E167}" name="Annual Usage">
      <calculatedColumnFormula>C2*12</calculatedColumnFormula>
    </tableColumn>
    <tableColumn id="6" xr3:uid="{46E11F57-47B7-49DB-A85D-1F349CDEB8AD}" name="Annual Value (₹)">
      <calculatedColumnFormula>B2*E2</calculatedColumnFormula>
    </tableColumn>
    <tableColumn id="7" xr3:uid="{572A4D9B-7B04-4B58-8A24-B8D5E2CF6832}" name="Cumulative %"/>
    <tableColumn id="8" xr3:uid="{167E3CA9-A964-4261-AEE3-7F2DB3A98F54}" name="Class" dataDxfId="6">
      <calculatedColumnFormula>IF(G2&lt;=70,"A",IF(G2&lt;=90,"B","C"))</calculatedColumnFormula>
    </tableColumn>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B17DFF-6DBD-4572-AF4D-D07A63F84223}" name="Table14" displayName="Table14" ref="A1:K8" totalsRowShown="0" headerRowDxfId="31">
  <autoFilter ref="A1:K8" xr:uid="{87B17DFF-6DBD-4572-AF4D-D07A63F842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62CF0E8B-2FEF-4065-9EBB-4CAEC8E2CB06}" name="Ingredient" dataDxfId="30"/>
    <tableColumn id="2" xr3:uid="{D8F1F159-2199-4B0F-9435-4A968094B961}" name="Avg Daily Demand" dataDxfId="29"/>
    <tableColumn id="3" xr3:uid="{67CD5D01-9A3F-4242-BC92-C7DB4F1CB7C4}" name="(Units)" dataDxfId="28"/>
    <tableColumn id="4" xr3:uid="{9010EE46-843C-4BE4-A336-2AD0F9450CE7}" name="Std Dev" dataDxfId="27"/>
    <tableColumn id="5" xr3:uid="{32B6C1E2-D6ED-41F3-B88A-90F12A829AA3}" name="Lead Time (days)" dataDxfId="26"/>
    <tableColumn id="6" xr3:uid="{C9218393-407D-4F04-8EC6-71C82FA6798B}" name="Annual Demand">
      <calculatedColumnFormula>B2*365</calculatedColumnFormula>
    </tableColumn>
    <tableColumn id="7" xr3:uid="{A586A057-1520-4AC7-94C4-BEB7E4703EC9}" name="Order Cost (₹)" dataDxfId="25"/>
    <tableColumn id="8" xr3:uid="{FE3E2D2F-7A46-40A8-A978-7A4D436935A9}" name="Holding Cost (₹/unit/yr)" dataDxfId="24"/>
    <tableColumn id="9" xr3:uid="{0DA75564-7CC2-4773-8670-8A93ED1E10A8}" name="EOQ">
      <calculatedColumnFormula>SQRT((2*F2*G2)/H2)</calculatedColumnFormula>
    </tableColumn>
    <tableColumn id="10" xr3:uid="{87EC29DB-B395-4856-BB1D-8416DBB6FB0B}" name="Safety Stock">
      <calculatedColumnFormula>1.645*D2*SQRT(E2)</calculatedColumnFormula>
    </tableColumn>
    <tableColumn id="11" xr3:uid="{AC5A47E5-08A2-4749-A69B-5B1DBDA28199}" name="ROP">
      <calculatedColumnFormula>B2*E2+J2</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2ADDF38-0D94-4504-818C-1FBE231FFCFF}" name="Table15" displayName="Table15" ref="A1:H21" totalsRowShown="0" headerRowDxfId="5">
  <autoFilter ref="A1:H21" xr:uid="{52ADDF38-0D94-4504-818C-1FBE231FFCF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AF40DAF-BF0D-4D2D-BE31-EB66FABBCB3C}" name="Dish Name" dataDxfId="4"/>
    <tableColumn id="2" xr3:uid="{25C9EBB9-D88D-4DBC-9877-31DEC77B4072}" name="Selling Price (₹)"/>
    <tableColumn id="3" xr3:uid="{1F264EF4-8189-4961-84EB-C438EC5B7295}" name="Ingredient Cost (₹)"/>
    <tableColumn id="4" xr3:uid="{B8A203DD-FCC5-439B-B1EF-F2FD18C22D7A}" name="Platform Fee (₹)" dataDxfId="3">
      <calculatedColumnFormula>0.3*B2</calculatedColumnFormula>
    </tableColumn>
    <tableColumn id="5" xr3:uid="{6159BFAD-A40A-4D7D-AB8C-43940B1FA2F1}" name="Total Variable Cost">
      <calculatedColumnFormula>C2+D2</calculatedColumnFormula>
    </tableColumn>
    <tableColumn id="6" xr3:uid="{77084FB9-5B85-49B1-8D44-04D48062C41C}" name="CM (₹)">
      <calculatedColumnFormula>B2-E2</calculatedColumnFormula>
    </tableColumn>
    <tableColumn id="7" xr3:uid="{EBB29BDE-617E-43A0-8242-FBFD229CDD63}" name="CM %">
      <calculatedColumnFormula>F2/B2*100</calculatedColumnFormula>
    </tableColumn>
    <tableColumn id="8" xr3:uid="{57E61838-F9CB-4068-8754-FCEA034CCAA9}" name="Category" dataDxfId="2">
      <calculatedColumnFormula>IF(AND(G2&gt;=45, COUNTIF($A$2:$A$11,A2)&gt;5),"Star",IF(AND(G2&gt;=45, COUNTIF($A$2:$A$11,A2)&lt;=5),"Puzzle",IF(AND(G2&lt;45, COUNTIF($A$2:$A$11,A2)&gt;5),"Plowhorse","Dog")))</calculatedColumnFormula>
    </tableColumn>
  </tableColumns>
  <tableStyleInfo name="TableStyleLight2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7EC455-4CEE-4F2D-BE3A-3B44D1846F43}" name="Table4" displayName="Table4" ref="A1:D87" totalsRowShown="0">
  <autoFilter ref="A1:D87" xr:uid="{337EC455-4CEE-4F2D-BE3A-3B44D1846F43}"/>
  <tableColumns count="4">
    <tableColumn id="1" xr3:uid="{5C2A445A-14E2-4EDC-AE65-2E8302980531}" name="Ingredients"/>
    <tableColumn id="2" xr3:uid="{D3A30977-BC79-4443-9530-5555726C9ED3}" name="Local Vendor Cost"/>
    <tableColumn id="3" xr3:uid="{91D22979-3A28-4B98-AE8F-64A2CCE0BB29}" name="Quick commerce cost"/>
    <tableColumn id="4" xr3:uid="{5E588734-8E6B-4DE8-90B9-057895040D7D}" name="Difference" dataDxfId="1">
      <calculatedColumnFormula>((C2-B2)/B2)</calculatedColumnFormula>
    </tableColumn>
  </tableColumns>
  <tableStyleInfo name="TableStyleMedium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84C5114-E2EA-49C1-A7B9-EC4CCC54420B}" name="Table6" displayName="Table6" ref="A1:E16" totalsRowShown="0">
  <tableColumns count="5">
    <tableColumn id="1" xr3:uid="{24A074DC-F7B8-4115-81B2-51BEBA8D1990}" name="Date"/>
    <tableColumn id="2" xr3:uid="{D636AD55-3257-4168-8904-F1537BEB2BF5}" name="Event_Type"/>
    <tableColumn id="3" xr3:uid="{9332069B-B439-4773-AB80-2068DF1F6739}" name="Event_Name"/>
    <tableColumn id="4" xr3:uid="{8B4743AD-300F-4AC6-9117-D0EF663590CA}" name="Impact"/>
    <tableColumn id="5" xr3:uid="{39E0C0E3-907A-4720-BE94-27F2186AFB79}" name="Notes"/>
  </tableColumns>
  <tableStyleInfo name="TableStyleLight2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750F4E-5FC6-4196-BE9A-B3B81B0F09CA}" name="Table3" displayName="Table3" ref="A1:E120" totalsRowShown="0">
  <autoFilter ref="A1:E120" xr:uid="{06750F4E-5FC6-4196-BE9A-B3B81B0F09CA}"/>
  <tableColumns count="5">
    <tableColumn id="1" xr3:uid="{8BD6E9BC-7DF3-46E1-BCD3-A4C0B72FC748}" name="DishName" dataDxfId="0"/>
    <tableColumn id="2" xr3:uid="{53DBE8EA-85F7-4C4B-B3BA-7940DA666737}" name="Breakfast">
      <calculatedColumnFormula>IF(COUNTIFS('Menu Details'!$B:$B,$A2,'Menu Details'!$C:$C,"Breakfast")&gt;0,"✓","")</calculatedColumnFormula>
    </tableColumn>
    <tableColumn id="3" xr3:uid="{060F0381-4798-43AE-BD8B-06B597046192}" name="Lunch">
      <calculatedColumnFormula>IF(COUNTIFS('Menu Details'!$B:$B,$A2,'Menu Details'!$C:$C,"Lunch")&gt;0,"✓","")</calculatedColumnFormula>
    </tableColumn>
    <tableColumn id="4" xr3:uid="{6C8351D2-4C27-44B1-8465-8D07194A41C5}" name="Snacks ">
      <calculatedColumnFormula>IF(COUNTIFS('Menu Details'!$B:$B,$A2,'Menu Details'!$C:$C,"Snacks")&gt;0,"✓","")</calculatedColumnFormula>
    </tableColumn>
    <tableColumn id="5" xr3:uid="{92003F7E-23C6-4366-A1C8-F42647D4EACF}" name="Dinner">
      <calculatedColumnFormula>IF(COUNTIFS('Menu Details'!$B:$B,$A2,'Menu Details'!$C:$C,"Dinner")&gt;0,"✓","")</calculatedColumnFormula>
    </tableColumn>
  </tableColumns>
  <tableStyleInfo name="TableStyleMedium1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16A773-B410-4416-8C8D-BC224AFE75D0}" name="Table8" displayName="Table8" ref="A2:B11" totalsRowShown="0">
  <autoFilter ref="A2:B11" xr:uid="{F116A773-B410-4416-8C8D-BC224AFE75D0}">
    <filterColumn colId="0" hiddenButton="1"/>
    <filterColumn colId="1" hiddenButton="1"/>
  </autoFilter>
  <tableColumns count="2">
    <tableColumn id="1" xr3:uid="{B2DD9268-80F2-4DF8-94F1-3F696A19CFD5}" name="Metric"/>
    <tableColumn id="2" xr3:uid="{42E115CC-3A77-446C-9353-62AA1119DF7C}" name="Value"/>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106BDD8-F1F7-4B97-A8AC-7C3393AB6A9E}" name="Table812" displayName="Table812" ref="A15:B24" totalsRowShown="0">
  <autoFilter ref="A15:B24" xr:uid="{1106BDD8-F1F7-4B97-A8AC-7C3393AB6A9E}"/>
  <tableColumns count="2">
    <tableColumn id="1" xr3:uid="{6A16A7C3-4138-44C8-8869-18F1329DF5A1}" name="Metric"/>
    <tableColumn id="2" xr3:uid="{3F73430A-7E4A-4C82-A2FE-080585970FD9}" name="Valu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drawing" Target="../drawings/drawing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17" Type="http://schemas.openxmlformats.org/officeDocument/2006/relationships/table" Target="../tables/table6.xml"/><Relationship Id="rId2" Type="http://schemas.openxmlformats.org/officeDocument/2006/relationships/pivotTable" Target="../pivotTables/pivotTable5.xml"/><Relationship Id="rId16" Type="http://schemas.openxmlformats.org/officeDocument/2006/relationships/table" Target="../tables/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5" Type="http://schemas.openxmlformats.org/officeDocument/2006/relationships/table" Target="../tables/table4.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openxmlformats.org/officeDocument/2006/relationships/table" Target="../tables/table15.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table" Target="../tables/table14.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2104-5442-41E7-9941-C8A0DE3C57CB}">
  <dimension ref="A1:L422"/>
  <sheetViews>
    <sheetView topLeftCell="B1" zoomScaleNormal="100" workbookViewId="0">
      <selection activeCell="H8" sqref="H8"/>
    </sheetView>
  </sheetViews>
  <sheetFormatPr defaultRowHeight="15" x14ac:dyDescent="0.25"/>
  <cols>
    <col min="1" max="1" width="9.85546875" style="2" customWidth="1"/>
    <col min="2" max="2" width="30" customWidth="1"/>
    <col min="3" max="3" width="19.5703125" customWidth="1"/>
    <col min="4" max="4" width="16.140625" customWidth="1"/>
    <col min="5" max="5" width="18.7109375" customWidth="1"/>
    <col min="6" max="6" width="13.85546875" customWidth="1"/>
    <col min="7" max="7" width="25.42578125" customWidth="1"/>
    <col min="8" max="8" width="38.28515625" customWidth="1"/>
    <col min="9" max="9" width="23.42578125" customWidth="1"/>
    <col min="10" max="121" width="37.5703125" bestFit="1" customWidth="1"/>
    <col min="122" max="122" width="11.28515625" bestFit="1" customWidth="1"/>
  </cols>
  <sheetData>
    <row r="1" spans="1:12" x14ac:dyDescent="0.25">
      <c r="A1" s="2" t="s">
        <v>0</v>
      </c>
      <c r="B1" t="s">
        <v>1</v>
      </c>
      <c r="C1" t="s">
        <v>2</v>
      </c>
      <c r="D1" t="s">
        <v>3</v>
      </c>
      <c r="E1" t="s">
        <v>4</v>
      </c>
      <c r="F1" t="s">
        <v>5</v>
      </c>
      <c r="G1" t="s">
        <v>6</v>
      </c>
      <c r="H1" t="s">
        <v>7</v>
      </c>
      <c r="I1" t="s">
        <v>8</v>
      </c>
    </row>
    <row r="2" spans="1:12" x14ac:dyDescent="0.25">
      <c r="A2" s="2">
        <v>1</v>
      </c>
      <c r="B2" t="s">
        <v>9</v>
      </c>
      <c r="C2" t="s">
        <v>10</v>
      </c>
      <c r="D2" t="s">
        <v>11</v>
      </c>
      <c r="E2" s="1">
        <v>6.25E-2</v>
      </c>
      <c r="F2">
        <v>90</v>
      </c>
      <c r="G2" t="s">
        <v>12</v>
      </c>
      <c r="H2" t="s">
        <v>13</v>
      </c>
      <c r="I2" t="s">
        <v>14</v>
      </c>
    </row>
    <row r="3" spans="1:12" x14ac:dyDescent="0.25">
      <c r="A3" s="2">
        <v>2</v>
      </c>
      <c r="B3" t="s">
        <v>15</v>
      </c>
      <c r="C3" t="s">
        <v>10</v>
      </c>
      <c r="D3" t="s">
        <v>11</v>
      </c>
      <c r="E3" s="1">
        <v>4.1666666666666664E-2</v>
      </c>
      <c r="F3">
        <v>75</v>
      </c>
      <c r="G3" t="s">
        <v>12</v>
      </c>
      <c r="H3" t="s">
        <v>13</v>
      </c>
      <c r="I3" t="s">
        <v>16</v>
      </c>
      <c r="K3" s="19" t="s">
        <v>1348</v>
      </c>
      <c r="L3" s="19">
        <f>COUNTA(_xlfn.UNIQUE(B2:B264))</f>
        <v>115</v>
      </c>
    </row>
    <row r="4" spans="1:12" x14ac:dyDescent="0.25">
      <c r="A4" s="2">
        <v>3</v>
      </c>
      <c r="B4" t="s">
        <v>17</v>
      </c>
      <c r="C4" t="s">
        <v>18</v>
      </c>
      <c r="D4" t="s">
        <v>11</v>
      </c>
      <c r="E4" s="1">
        <v>6.25E-2</v>
      </c>
      <c r="F4">
        <v>75</v>
      </c>
      <c r="G4" t="s">
        <v>19</v>
      </c>
      <c r="H4" t="s">
        <v>20</v>
      </c>
      <c r="I4" t="s">
        <v>14</v>
      </c>
    </row>
    <row r="5" spans="1:12" x14ac:dyDescent="0.25">
      <c r="A5" s="2">
        <v>3</v>
      </c>
      <c r="B5" t="s">
        <v>17</v>
      </c>
      <c r="C5" t="s">
        <v>21</v>
      </c>
      <c r="D5" t="s">
        <v>11</v>
      </c>
      <c r="E5" s="1">
        <v>6.25E-2</v>
      </c>
      <c r="F5">
        <v>75</v>
      </c>
      <c r="G5" t="s">
        <v>19</v>
      </c>
      <c r="H5" t="s">
        <v>20</v>
      </c>
      <c r="I5" t="s">
        <v>14</v>
      </c>
    </row>
    <row r="6" spans="1:12" x14ac:dyDescent="0.25">
      <c r="A6" s="2">
        <v>3</v>
      </c>
      <c r="B6" t="s">
        <v>17</v>
      </c>
      <c r="C6" t="s">
        <v>22</v>
      </c>
      <c r="D6" t="s">
        <v>11</v>
      </c>
      <c r="E6" s="1">
        <v>6.25E-2</v>
      </c>
      <c r="F6">
        <v>75</v>
      </c>
      <c r="G6" t="s">
        <v>19</v>
      </c>
      <c r="H6" t="s">
        <v>20</v>
      </c>
      <c r="I6" t="s">
        <v>14</v>
      </c>
    </row>
    <row r="7" spans="1:12" x14ac:dyDescent="0.25">
      <c r="A7" s="2">
        <v>4</v>
      </c>
      <c r="B7" t="s">
        <v>23</v>
      </c>
      <c r="C7" t="s">
        <v>18</v>
      </c>
      <c r="D7" t="s">
        <v>11</v>
      </c>
      <c r="E7" s="1">
        <v>4.1666666666666664E-2</v>
      </c>
      <c r="F7">
        <v>60</v>
      </c>
      <c r="G7" t="s">
        <v>24</v>
      </c>
      <c r="H7" t="s">
        <v>25</v>
      </c>
      <c r="I7" t="s">
        <v>16</v>
      </c>
    </row>
    <row r="8" spans="1:12" x14ac:dyDescent="0.25">
      <c r="A8" s="2">
        <v>4</v>
      </c>
      <c r="B8" t="s">
        <v>23</v>
      </c>
      <c r="C8" t="s">
        <v>21</v>
      </c>
      <c r="D8" t="s">
        <v>11</v>
      </c>
      <c r="E8" s="1">
        <v>8.3333333333333301E-2</v>
      </c>
      <c r="F8">
        <v>60</v>
      </c>
      <c r="G8" t="s">
        <v>24</v>
      </c>
      <c r="H8" t="s">
        <v>25</v>
      </c>
      <c r="I8" t="s">
        <v>26</v>
      </c>
    </row>
    <row r="9" spans="1:12" x14ac:dyDescent="0.25">
      <c r="A9" s="2">
        <v>5</v>
      </c>
      <c r="B9" t="s">
        <v>27</v>
      </c>
      <c r="C9" t="s">
        <v>10</v>
      </c>
      <c r="D9" t="s">
        <v>11</v>
      </c>
      <c r="E9" s="1">
        <v>8.3333333333333329E-2</v>
      </c>
      <c r="F9">
        <v>160</v>
      </c>
      <c r="G9" t="s">
        <v>28</v>
      </c>
      <c r="H9" t="s">
        <v>29</v>
      </c>
      <c r="I9" t="s">
        <v>26</v>
      </c>
    </row>
    <row r="10" spans="1:12" x14ac:dyDescent="0.25">
      <c r="A10" s="2">
        <v>5</v>
      </c>
      <c r="B10" t="s">
        <v>27</v>
      </c>
      <c r="C10" t="s">
        <v>18</v>
      </c>
      <c r="D10" t="s">
        <v>11</v>
      </c>
      <c r="E10" s="1">
        <v>8.3333333333333329E-2</v>
      </c>
      <c r="F10">
        <v>160</v>
      </c>
      <c r="G10" t="s">
        <v>28</v>
      </c>
      <c r="H10" t="s">
        <v>29</v>
      </c>
      <c r="I10" t="s">
        <v>26</v>
      </c>
    </row>
    <row r="11" spans="1:12" x14ac:dyDescent="0.25">
      <c r="A11" s="2">
        <v>6</v>
      </c>
      <c r="B11" t="s">
        <v>30</v>
      </c>
      <c r="C11" t="s">
        <v>18</v>
      </c>
      <c r="D11" t="s">
        <v>11</v>
      </c>
      <c r="E11" s="1">
        <v>4.1666666666666664E-2</v>
      </c>
      <c r="F11">
        <v>70</v>
      </c>
      <c r="G11" t="s">
        <v>31</v>
      </c>
      <c r="H11" t="s">
        <v>32</v>
      </c>
      <c r="I11" t="s">
        <v>16</v>
      </c>
    </row>
    <row r="12" spans="1:12" x14ac:dyDescent="0.25">
      <c r="A12" s="2">
        <v>6</v>
      </c>
      <c r="B12" t="s">
        <v>30</v>
      </c>
      <c r="C12" t="s">
        <v>10</v>
      </c>
      <c r="D12" t="s">
        <v>11</v>
      </c>
      <c r="E12" s="1">
        <v>4.1666666666666664E-2</v>
      </c>
      <c r="F12">
        <v>70</v>
      </c>
      <c r="G12" t="s">
        <v>31</v>
      </c>
      <c r="H12" t="s">
        <v>32</v>
      </c>
      <c r="I12" t="s">
        <v>16</v>
      </c>
    </row>
    <row r="13" spans="1:12" x14ac:dyDescent="0.25">
      <c r="A13" s="2">
        <v>6</v>
      </c>
      <c r="B13" t="s">
        <v>30</v>
      </c>
      <c r="C13" t="s">
        <v>21</v>
      </c>
      <c r="D13" t="s">
        <v>11</v>
      </c>
      <c r="E13" s="1">
        <v>4.1666666666666664E-2</v>
      </c>
      <c r="F13">
        <v>70</v>
      </c>
      <c r="G13" t="s">
        <v>31</v>
      </c>
      <c r="H13" t="s">
        <v>32</v>
      </c>
      <c r="I13" t="s">
        <v>16</v>
      </c>
    </row>
    <row r="14" spans="1:12" x14ac:dyDescent="0.25">
      <c r="A14" s="2">
        <v>7</v>
      </c>
      <c r="B14" t="s">
        <v>33</v>
      </c>
      <c r="C14" t="s">
        <v>10</v>
      </c>
      <c r="D14" t="s">
        <v>34</v>
      </c>
      <c r="E14" s="1">
        <v>4.1666666666666664E-2</v>
      </c>
      <c r="F14">
        <v>60</v>
      </c>
      <c r="G14" t="s">
        <v>35</v>
      </c>
      <c r="H14" t="s">
        <v>36</v>
      </c>
      <c r="I14" t="s">
        <v>16</v>
      </c>
    </row>
    <row r="15" spans="1:12" x14ac:dyDescent="0.25">
      <c r="A15" s="2">
        <v>7</v>
      </c>
      <c r="B15" t="s">
        <v>33</v>
      </c>
      <c r="C15" t="s">
        <v>18</v>
      </c>
      <c r="D15" t="s">
        <v>34</v>
      </c>
      <c r="E15" s="1">
        <v>4.1666666666666664E-2</v>
      </c>
      <c r="F15">
        <v>60</v>
      </c>
      <c r="G15" t="s">
        <v>35</v>
      </c>
      <c r="H15" t="s">
        <v>36</v>
      </c>
      <c r="I15" t="s">
        <v>16</v>
      </c>
    </row>
    <row r="16" spans="1:12" ht="15.75" customHeight="1" x14ac:dyDescent="0.25">
      <c r="A16" s="2">
        <v>8</v>
      </c>
      <c r="B16" t="s">
        <v>37</v>
      </c>
      <c r="C16" t="s">
        <v>10</v>
      </c>
      <c r="D16" t="s">
        <v>11</v>
      </c>
      <c r="E16" s="1">
        <v>6.25E-2</v>
      </c>
      <c r="F16">
        <v>150</v>
      </c>
      <c r="G16" s="6" t="s">
        <v>38</v>
      </c>
      <c r="H16" t="s">
        <v>39</v>
      </c>
      <c r="I16" t="s">
        <v>14</v>
      </c>
    </row>
    <row r="17" spans="1:9" ht="14.25" customHeight="1" x14ac:dyDescent="0.25">
      <c r="A17" s="2">
        <v>8</v>
      </c>
      <c r="B17" t="s">
        <v>37</v>
      </c>
      <c r="C17" t="s">
        <v>18</v>
      </c>
      <c r="D17" t="s">
        <v>11</v>
      </c>
      <c r="E17" s="1">
        <v>6.25E-2</v>
      </c>
      <c r="F17">
        <v>151</v>
      </c>
      <c r="G17" s="6" t="s">
        <v>40</v>
      </c>
      <c r="H17" t="s">
        <v>39</v>
      </c>
      <c r="I17" t="s">
        <v>14</v>
      </c>
    </row>
    <row r="18" spans="1:9" x14ac:dyDescent="0.25">
      <c r="A18" s="2">
        <v>9</v>
      </c>
      <c r="B18" t="s">
        <v>41</v>
      </c>
      <c r="C18" t="s">
        <v>10</v>
      </c>
      <c r="D18" t="s">
        <v>11</v>
      </c>
      <c r="E18" s="1">
        <v>4.1666666666666664E-2</v>
      </c>
      <c r="F18">
        <v>80</v>
      </c>
      <c r="G18" t="s">
        <v>42</v>
      </c>
      <c r="H18" t="s">
        <v>43</v>
      </c>
      <c r="I18" t="s">
        <v>16</v>
      </c>
    </row>
    <row r="19" spans="1:9" x14ac:dyDescent="0.25">
      <c r="A19" s="2">
        <v>9</v>
      </c>
      <c r="B19" t="s">
        <v>41</v>
      </c>
      <c r="C19" t="s">
        <v>18</v>
      </c>
      <c r="D19" t="s">
        <v>11</v>
      </c>
      <c r="E19" s="1">
        <v>4.1666666666666664E-2</v>
      </c>
      <c r="F19">
        <v>80</v>
      </c>
      <c r="G19" t="s">
        <v>42</v>
      </c>
      <c r="H19" t="s">
        <v>43</v>
      </c>
      <c r="I19" t="s">
        <v>16</v>
      </c>
    </row>
    <row r="20" spans="1:9" ht="13.5" customHeight="1" x14ac:dyDescent="0.25">
      <c r="A20" s="2">
        <v>10</v>
      </c>
      <c r="B20" t="s">
        <v>44</v>
      </c>
      <c r="C20" t="s">
        <v>21</v>
      </c>
      <c r="D20" t="s">
        <v>11</v>
      </c>
      <c r="E20" s="1">
        <v>6.25E-2</v>
      </c>
      <c r="F20">
        <v>80</v>
      </c>
      <c r="G20" s="6" t="s">
        <v>45</v>
      </c>
      <c r="H20" t="s">
        <v>46</v>
      </c>
      <c r="I20" t="s">
        <v>14</v>
      </c>
    </row>
    <row r="21" spans="1:9" ht="14.25" customHeight="1" x14ac:dyDescent="0.25">
      <c r="A21" s="2">
        <v>10</v>
      </c>
      <c r="B21" t="s">
        <v>44</v>
      </c>
      <c r="C21" t="s">
        <v>10</v>
      </c>
      <c r="D21" t="s">
        <v>11</v>
      </c>
      <c r="E21" s="1">
        <v>6.25E-2</v>
      </c>
      <c r="F21">
        <v>80</v>
      </c>
      <c r="G21" s="6" t="s">
        <v>45</v>
      </c>
      <c r="H21" t="s">
        <v>46</v>
      </c>
      <c r="I21" t="s">
        <v>14</v>
      </c>
    </row>
    <row r="22" spans="1:9" ht="15" customHeight="1" x14ac:dyDescent="0.25">
      <c r="A22" s="2">
        <v>10</v>
      </c>
      <c r="B22" t="s">
        <v>44</v>
      </c>
      <c r="C22" t="s">
        <v>18</v>
      </c>
      <c r="D22" t="s">
        <v>11</v>
      </c>
      <c r="E22" s="1">
        <v>6.25E-2</v>
      </c>
      <c r="F22">
        <v>80</v>
      </c>
      <c r="G22" s="6" t="s">
        <v>45</v>
      </c>
      <c r="H22" t="s">
        <v>46</v>
      </c>
      <c r="I22" t="s">
        <v>14</v>
      </c>
    </row>
    <row r="23" spans="1:9" x14ac:dyDescent="0.25">
      <c r="A23" s="2">
        <v>11</v>
      </c>
      <c r="B23" t="s">
        <v>47</v>
      </c>
      <c r="C23" t="s">
        <v>10</v>
      </c>
      <c r="D23" t="s">
        <v>11</v>
      </c>
      <c r="E23" s="1">
        <v>4.1666666666666664E-2</v>
      </c>
      <c r="F23">
        <v>80</v>
      </c>
      <c r="G23" t="s">
        <v>48</v>
      </c>
      <c r="H23" t="s">
        <v>49</v>
      </c>
      <c r="I23" t="s">
        <v>16</v>
      </c>
    </row>
    <row r="24" spans="1:9" x14ac:dyDescent="0.25">
      <c r="A24" s="2">
        <v>11</v>
      </c>
      <c r="B24" t="s">
        <v>47</v>
      </c>
      <c r="C24" t="s">
        <v>21</v>
      </c>
      <c r="D24" t="s">
        <v>11</v>
      </c>
      <c r="E24" s="1">
        <v>4.1666666666666664E-2</v>
      </c>
      <c r="F24">
        <v>80</v>
      </c>
      <c r="G24" t="s">
        <v>48</v>
      </c>
      <c r="H24" t="s">
        <v>49</v>
      </c>
      <c r="I24" t="s">
        <v>16</v>
      </c>
    </row>
    <row r="25" spans="1:9" x14ac:dyDescent="0.25">
      <c r="A25" s="2">
        <v>11</v>
      </c>
      <c r="B25" t="s">
        <v>47</v>
      </c>
      <c r="C25" t="s">
        <v>18</v>
      </c>
      <c r="D25" t="s">
        <v>11</v>
      </c>
      <c r="E25" s="1">
        <v>4.1666666666666664E-2</v>
      </c>
      <c r="F25">
        <v>80</v>
      </c>
      <c r="G25" t="s">
        <v>48</v>
      </c>
      <c r="H25" t="s">
        <v>49</v>
      </c>
      <c r="I25" t="s">
        <v>16</v>
      </c>
    </row>
    <row r="26" spans="1:9" x14ac:dyDescent="0.25">
      <c r="A26" s="2">
        <v>12</v>
      </c>
      <c r="B26" t="s">
        <v>50</v>
      </c>
      <c r="C26" t="s">
        <v>10</v>
      </c>
      <c r="D26" t="s">
        <v>11</v>
      </c>
      <c r="E26" s="1">
        <v>4.1666666666666664E-2</v>
      </c>
      <c r="F26">
        <v>60</v>
      </c>
      <c r="G26" t="s">
        <v>51</v>
      </c>
      <c r="H26" t="s">
        <v>52</v>
      </c>
      <c r="I26" t="s">
        <v>16</v>
      </c>
    </row>
    <row r="27" spans="1:9" x14ac:dyDescent="0.25">
      <c r="A27" s="2">
        <v>12</v>
      </c>
      <c r="B27" t="s">
        <v>50</v>
      </c>
      <c r="C27" t="s">
        <v>21</v>
      </c>
      <c r="D27" t="s">
        <v>11</v>
      </c>
      <c r="E27" s="1">
        <v>4.1666666666666664E-2</v>
      </c>
      <c r="F27">
        <v>60</v>
      </c>
      <c r="G27" t="s">
        <v>51</v>
      </c>
      <c r="H27" t="s">
        <v>52</v>
      </c>
      <c r="I27" t="s">
        <v>16</v>
      </c>
    </row>
    <row r="28" spans="1:9" x14ac:dyDescent="0.25">
      <c r="A28" s="2">
        <v>12</v>
      </c>
      <c r="B28" t="s">
        <v>50</v>
      </c>
      <c r="C28" t="s">
        <v>18</v>
      </c>
      <c r="D28" t="s">
        <v>11</v>
      </c>
      <c r="E28" s="1">
        <v>4.1666666666666664E-2</v>
      </c>
      <c r="F28">
        <v>60</v>
      </c>
      <c r="G28" t="s">
        <v>51</v>
      </c>
      <c r="H28" t="s">
        <v>52</v>
      </c>
      <c r="I28" t="s">
        <v>16</v>
      </c>
    </row>
    <row r="29" spans="1:9" x14ac:dyDescent="0.25">
      <c r="A29" s="2">
        <v>13</v>
      </c>
      <c r="B29" t="s">
        <v>53</v>
      </c>
      <c r="C29" t="s">
        <v>10</v>
      </c>
      <c r="D29" t="s">
        <v>11</v>
      </c>
      <c r="E29" s="1">
        <v>6.25E-2</v>
      </c>
      <c r="F29">
        <v>105</v>
      </c>
      <c r="G29" t="s">
        <v>54</v>
      </c>
      <c r="H29" t="s">
        <v>55</v>
      </c>
      <c r="I29" t="s">
        <v>14</v>
      </c>
    </row>
    <row r="30" spans="1:9" x14ac:dyDescent="0.25">
      <c r="A30" s="2">
        <v>13</v>
      </c>
      <c r="B30" t="s">
        <v>53</v>
      </c>
      <c r="C30" t="s">
        <v>21</v>
      </c>
      <c r="D30" t="s">
        <v>11</v>
      </c>
      <c r="E30" s="1">
        <v>6.25E-2</v>
      </c>
      <c r="F30">
        <v>105</v>
      </c>
      <c r="G30" t="s">
        <v>54</v>
      </c>
      <c r="H30" t="s">
        <v>55</v>
      </c>
      <c r="I30" t="s">
        <v>14</v>
      </c>
    </row>
    <row r="31" spans="1:9" x14ac:dyDescent="0.25">
      <c r="A31" s="2">
        <v>13</v>
      </c>
      <c r="B31" t="s">
        <v>53</v>
      </c>
      <c r="C31" t="s">
        <v>18</v>
      </c>
      <c r="D31" t="s">
        <v>11</v>
      </c>
      <c r="E31" s="1">
        <v>6.25E-2</v>
      </c>
      <c r="F31">
        <v>105</v>
      </c>
      <c r="G31" t="s">
        <v>54</v>
      </c>
      <c r="H31" t="s">
        <v>55</v>
      </c>
      <c r="I31" t="s">
        <v>14</v>
      </c>
    </row>
    <row r="32" spans="1:9" x14ac:dyDescent="0.25">
      <c r="A32" s="2">
        <v>14</v>
      </c>
      <c r="B32" t="s">
        <v>56</v>
      </c>
      <c r="C32" t="s">
        <v>10</v>
      </c>
      <c r="D32" t="s">
        <v>11</v>
      </c>
      <c r="E32" s="1">
        <v>6.25E-2</v>
      </c>
      <c r="F32">
        <v>70</v>
      </c>
      <c r="G32" t="s">
        <v>57</v>
      </c>
      <c r="H32" t="s">
        <v>58</v>
      </c>
      <c r="I32" t="s">
        <v>14</v>
      </c>
    </row>
    <row r="33" spans="1:9" x14ac:dyDescent="0.25">
      <c r="A33" s="2">
        <v>14</v>
      </c>
      <c r="B33" t="s">
        <v>56</v>
      </c>
      <c r="C33" t="s">
        <v>18</v>
      </c>
      <c r="D33" t="s">
        <v>11</v>
      </c>
      <c r="E33" s="1">
        <v>6.25E-2</v>
      </c>
      <c r="F33">
        <v>70</v>
      </c>
      <c r="G33" t="s">
        <v>57</v>
      </c>
      <c r="H33" t="s">
        <v>58</v>
      </c>
      <c r="I33" t="s">
        <v>14</v>
      </c>
    </row>
    <row r="34" spans="1:9" ht="165" x14ac:dyDescent="0.25">
      <c r="A34" s="2">
        <v>15</v>
      </c>
      <c r="B34" t="s">
        <v>59</v>
      </c>
      <c r="C34" t="s">
        <v>10</v>
      </c>
      <c r="D34" t="s">
        <v>11</v>
      </c>
      <c r="E34" s="1">
        <v>6.25E-2</v>
      </c>
      <c r="F34">
        <v>80</v>
      </c>
      <c r="G34" s="6" t="s">
        <v>60</v>
      </c>
      <c r="H34" t="s">
        <v>61</v>
      </c>
      <c r="I34" t="s">
        <v>14</v>
      </c>
    </row>
    <row r="35" spans="1:9" ht="165" x14ac:dyDescent="0.25">
      <c r="A35" s="2">
        <v>15</v>
      </c>
      <c r="B35" t="s">
        <v>59</v>
      </c>
      <c r="C35" t="s">
        <v>18</v>
      </c>
      <c r="D35" t="s">
        <v>11</v>
      </c>
      <c r="E35" s="1">
        <v>6.25E-2</v>
      </c>
      <c r="F35">
        <v>80</v>
      </c>
      <c r="G35" s="6" t="s">
        <v>60</v>
      </c>
      <c r="H35" t="s">
        <v>61</v>
      </c>
      <c r="I35" t="s">
        <v>14</v>
      </c>
    </row>
    <row r="36" spans="1:9" ht="165" x14ac:dyDescent="0.25">
      <c r="A36" s="2">
        <v>15</v>
      </c>
      <c r="B36" t="s">
        <v>59</v>
      </c>
      <c r="C36" t="s">
        <v>21</v>
      </c>
      <c r="D36" t="s">
        <v>11</v>
      </c>
      <c r="E36" s="1">
        <v>6.25E-2</v>
      </c>
      <c r="F36">
        <v>80</v>
      </c>
      <c r="G36" s="6" t="s">
        <v>60</v>
      </c>
      <c r="H36" t="s">
        <v>61</v>
      </c>
      <c r="I36" t="s">
        <v>14</v>
      </c>
    </row>
    <row r="37" spans="1:9" x14ac:dyDescent="0.25">
      <c r="A37" s="2">
        <v>16</v>
      </c>
      <c r="B37" t="s">
        <v>62</v>
      </c>
      <c r="C37" t="s">
        <v>10</v>
      </c>
      <c r="D37" t="s">
        <v>34</v>
      </c>
      <c r="E37" s="1">
        <v>4.1666666666666664E-2</v>
      </c>
      <c r="F37">
        <v>170</v>
      </c>
      <c r="G37" t="s">
        <v>63</v>
      </c>
      <c r="H37" t="s">
        <v>64</v>
      </c>
      <c r="I37" t="s">
        <v>16</v>
      </c>
    </row>
    <row r="38" spans="1:9" x14ac:dyDescent="0.25">
      <c r="A38" s="2">
        <v>16</v>
      </c>
      <c r="B38" t="s">
        <v>62</v>
      </c>
      <c r="C38" t="s">
        <v>18</v>
      </c>
      <c r="D38" t="s">
        <v>34</v>
      </c>
      <c r="E38" s="1">
        <v>4.1666666666666664E-2</v>
      </c>
      <c r="F38">
        <v>170</v>
      </c>
      <c r="G38" t="s">
        <v>63</v>
      </c>
      <c r="H38" t="s">
        <v>64</v>
      </c>
      <c r="I38" t="s">
        <v>16</v>
      </c>
    </row>
    <row r="39" spans="1:9" x14ac:dyDescent="0.25">
      <c r="A39" s="2">
        <v>17</v>
      </c>
      <c r="B39" t="s">
        <v>65</v>
      </c>
      <c r="C39" t="s">
        <v>10</v>
      </c>
      <c r="D39" t="s">
        <v>11</v>
      </c>
      <c r="E39" s="1">
        <v>6.25E-2</v>
      </c>
      <c r="F39">
        <v>70</v>
      </c>
      <c r="G39" t="s">
        <v>66</v>
      </c>
      <c r="H39" t="s">
        <v>67</v>
      </c>
      <c r="I39" t="s">
        <v>14</v>
      </c>
    </row>
    <row r="40" spans="1:9" x14ac:dyDescent="0.25">
      <c r="A40" s="2">
        <v>17</v>
      </c>
      <c r="B40" t="s">
        <v>65</v>
      </c>
      <c r="C40" t="s">
        <v>18</v>
      </c>
      <c r="D40" t="s">
        <v>11</v>
      </c>
      <c r="E40" s="1">
        <v>6.25E-2</v>
      </c>
      <c r="F40">
        <v>70</v>
      </c>
      <c r="G40" t="s">
        <v>66</v>
      </c>
      <c r="H40" t="s">
        <v>67</v>
      </c>
      <c r="I40" t="s">
        <v>14</v>
      </c>
    </row>
    <row r="41" spans="1:9" ht="195" x14ac:dyDescent="0.25">
      <c r="A41" s="2">
        <v>18</v>
      </c>
      <c r="B41" t="s">
        <v>68</v>
      </c>
      <c r="C41" t="s">
        <v>10</v>
      </c>
      <c r="D41" t="s">
        <v>34</v>
      </c>
      <c r="E41" s="1">
        <v>8.3333333333333329E-2</v>
      </c>
      <c r="F41">
        <v>130</v>
      </c>
      <c r="G41" s="6" t="s">
        <v>69</v>
      </c>
      <c r="H41" t="s">
        <v>70</v>
      </c>
      <c r="I41" t="s">
        <v>26</v>
      </c>
    </row>
    <row r="42" spans="1:9" x14ac:dyDescent="0.25">
      <c r="A42" s="2">
        <v>19</v>
      </c>
      <c r="B42" t="s">
        <v>71</v>
      </c>
      <c r="C42" t="s">
        <v>10</v>
      </c>
      <c r="D42" t="s">
        <v>11</v>
      </c>
      <c r="E42" s="1">
        <v>6.25E-2</v>
      </c>
      <c r="F42">
        <v>65</v>
      </c>
      <c r="G42" t="s">
        <v>72</v>
      </c>
      <c r="H42" t="s">
        <v>73</v>
      </c>
      <c r="I42" t="s">
        <v>14</v>
      </c>
    </row>
    <row r="43" spans="1:9" x14ac:dyDescent="0.25">
      <c r="A43" s="2">
        <v>19</v>
      </c>
      <c r="B43" t="s">
        <v>71</v>
      </c>
      <c r="C43" t="s">
        <v>18</v>
      </c>
      <c r="D43" t="s">
        <v>11</v>
      </c>
      <c r="E43" s="1">
        <v>6.25E-2</v>
      </c>
      <c r="F43">
        <v>65</v>
      </c>
      <c r="G43" t="s">
        <v>72</v>
      </c>
      <c r="H43" t="s">
        <v>73</v>
      </c>
      <c r="I43" t="s">
        <v>14</v>
      </c>
    </row>
    <row r="44" spans="1:9" ht="180" x14ac:dyDescent="0.25">
      <c r="A44" s="2">
        <v>20</v>
      </c>
      <c r="B44" t="s">
        <v>74</v>
      </c>
      <c r="C44" t="s">
        <v>10</v>
      </c>
      <c r="D44" t="s">
        <v>11</v>
      </c>
      <c r="E44" s="1">
        <v>6.25E-2</v>
      </c>
      <c r="F44">
        <v>65</v>
      </c>
      <c r="G44" s="6" t="s">
        <v>75</v>
      </c>
      <c r="H44" t="s">
        <v>76</v>
      </c>
      <c r="I44" t="s">
        <v>14</v>
      </c>
    </row>
    <row r="45" spans="1:9" ht="180" x14ac:dyDescent="0.25">
      <c r="A45" s="2">
        <v>20</v>
      </c>
      <c r="B45" t="s">
        <v>74</v>
      </c>
      <c r="C45" t="s">
        <v>18</v>
      </c>
      <c r="D45" t="s">
        <v>11</v>
      </c>
      <c r="E45" s="1">
        <v>6.25E-2</v>
      </c>
      <c r="F45">
        <v>65</v>
      </c>
      <c r="G45" s="6" t="s">
        <v>75</v>
      </c>
      <c r="H45" t="s">
        <v>76</v>
      </c>
      <c r="I45" t="s">
        <v>14</v>
      </c>
    </row>
    <row r="46" spans="1:9" x14ac:dyDescent="0.25">
      <c r="A46" s="2">
        <v>21</v>
      </c>
      <c r="B46" t="s">
        <v>77</v>
      </c>
      <c r="C46" t="s">
        <v>10</v>
      </c>
      <c r="D46" t="s">
        <v>11</v>
      </c>
      <c r="E46" s="1">
        <v>8.3333333333333329E-2</v>
      </c>
      <c r="F46">
        <v>65</v>
      </c>
      <c r="G46" t="s">
        <v>78</v>
      </c>
      <c r="H46" t="s">
        <v>79</v>
      </c>
      <c r="I46" t="s">
        <v>26</v>
      </c>
    </row>
    <row r="47" spans="1:9" x14ac:dyDescent="0.25">
      <c r="A47" s="2">
        <v>21</v>
      </c>
      <c r="B47" t="s">
        <v>77</v>
      </c>
      <c r="C47" t="s">
        <v>18</v>
      </c>
      <c r="D47" t="s">
        <v>11</v>
      </c>
      <c r="E47" s="1">
        <v>8.3333333333333329E-2</v>
      </c>
      <c r="F47">
        <v>65</v>
      </c>
      <c r="G47" t="s">
        <v>78</v>
      </c>
      <c r="H47" t="s">
        <v>79</v>
      </c>
      <c r="I47" t="s">
        <v>26</v>
      </c>
    </row>
    <row r="48" spans="1:9" ht="135" x14ac:dyDescent="0.25">
      <c r="A48" s="2">
        <v>22</v>
      </c>
      <c r="B48" t="s">
        <v>80</v>
      </c>
      <c r="C48" t="s">
        <v>10</v>
      </c>
      <c r="D48" t="s">
        <v>11</v>
      </c>
      <c r="E48" s="1">
        <v>6.25E-2</v>
      </c>
      <c r="F48">
        <v>65</v>
      </c>
      <c r="G48" s="6" t="s">
        <v>81</v>
      </c>
      <c r="H48" t="s">
        <v>82</v>
      </c>
      <c r="I48" t="s">
        <v>14</v>
      </c>
    </row>
    <row r="49" spans="1:9" ht="135" x14ac:dyDescent="0.25">
      <c r="A49" s="2">
        <v>22</v>
      </c>
      <c r="B49" t="s">
        <v>80</v>
      </c>
      <c r="C49" t="s">
        <v>18</v>
      </c>
      <c r="D49" t="s">
        <v>11</v>
      </c>
      <c r="E49" s="1">
        <v>6.25E-2</v>
      </c>
      <c r="F49">
        <v>65</v>
      </c>
      <c r="G49" s="6" t="s">
        <v>81</v>
      </c>
      <c r="H49" t="s">
        <v>82</v>
      </c>
      <c r="I49" t="s">
        <v>14</v>
      </c>
    </row>
    <row r="50" spans="1:9" x14ac:dyDescent="0.25">
      <c r="A50" s="2">
        <v>23</v>
      </c>
      <c r="B50" t="s">
        <v>83</v>
      </c>
      <c r="C50" t="s">
        <v>21</v>
      </c>
      <c r="D50" t="s">
        <v>11</v>
      </c>
      <c r="E50" s="1">
        <v>0.125</v>
      </c>
      <c r="F50">
        <v>140</v>
      </c>
      <c r="G50" t="s">
        <v>84</v>
      </c>
      <c r="H50" t="s">
        <v>85</v>
      </c>
      <c r="I50" t="s">
        <v>26</v>
      </c>
    </row>
    <row r="51" spans="1:9" x14ac:dyDescent="0.25">
      <c r="A51" s="2">
        <v>23</v>
      </c>
      <c r="B51" t="s">
        <v>83</v>
      </c>
      <c r="C51" t="s">
        <v>10</v>
      </c>
      <c r="D51" t="s">
        <v>11</v>
      </c>
      <c r="E51" s="1">
        <v>0.125</v>
      </c>
      <c r="F51">
        <v>140</v>
      </c>
      <c r="G51" t="s">
        <v>84</v>
      </c>
      <c r="H51" t="s">
        <v>85</v>
      </c>
      <c r="I51" t="s">
        <v>26</v>
      </c>
    </row>
    <row r="52" spans="1:9" x14ac:dyDescent="0.25">
      <c r="A52" s="2">
        <v>23</v>
      </c>
      <c r="B52" t="s">
        <v>83</v>
      </c>
      <c r="C52" t="s">
        <v>18</v>
      </c>
      <c r="D52" t="s">
        <v>11</v>
      </c>
      <c r="E52" s="1">
        <v>0.125</v>
      </c>
      <c r="F52">
        <v>140</v>
      </c>
      <c r="G52" t="s">
        <v>84</v>
      </c>
      <c r="H52" t="s">
        <v>85</v>
      </c>
      <c r="I52" t="s">
        <v>26</v>
      </c>
    </row>
    <row r="53" spans="1:9" x14ac:dyDescent="0.25">
      <c r="A53" s="2">
        <v>23</v>
      </c>
      <c r="B53" t="s">
        <v>83</v>
      </c>
      <c r="C53" t="s">
        <v>22</v>
      </c>
      <c r="D53" t="s">
        <v>11</v>
      </c>
      <c r="E53" s="1">
        <v>0.125</v>
      </c>
      <c r="F53">
        <v>140</v>
      </c>
      <c r="G53" t="s">
        <v>84</v>
      </c>
      <c r="H53" t="s">
        <v>85</v>
      </c>
      <c r="I53" t="s">
        <v>26</v>
      </c>
    </row>
    <row r="54" spans="1:9" x14ac:dyDescent="0.25">
      <c r="A54" s="2">
        <v>24</v>
      </c>
      <c r="B54" t="s">
        <v>86</v>
      </c>
      <c r="C54" t="s">
        <v>10</v>
      </c>
      <c r="D54" t="s">
        <v>11</v>
      </c>
      <c r="E54" s="1">
        <v>6.25E-2</v>
      </c>
      <c r="F54">
        <v>65</v>
      </c>
      <c r="G54" t="s">
        <v>87</v>
      </c>
      <c r="H54" t="s">
        <v>88</v>
      </c>
      <c r="I54" t="s">
        <v>14</v>
      </c>
    </row>
    <row r="55" spans="1:9" x14ac:dyDescent="0.25">
      <c r="A55" s="2">
        <v>24</v>
      </c>
      <c r="B55" t="s">
        <v>86</v>
      </c>
      <c r="C55" t="s">
        <v>18</v>
      </c>
      <c r="D55" t="s">
        <v>11</v>
      </c>
      <c r="E55" s="1">
        <v>6.25E-2</v>
      </c>
      <c r="F55">
        <v>65</v>
      </c>
      <c r="G55" t="s">
        <v>87</v>
      </c>
      <c r="H55" t="s">
        <v>88</v>
      </c>
      <c r="I55" t="s">
        <v>14</v>
      </c>
    </row>
    <row r="56" spans="1:9" x14ac:dyDescent="0.25">
      <c r="A56" s="2">
        <v>24</v>
      </c>
      <c r="B56" t="s">
        <v>86</v>
      </c>
      <c r="C56" t="s">
        <v>21</v>
      </c>
      <c r="D56" t="s">
        <v>11</v>
      </c>
      <c r="E56" s="1">
        <v>6.25E-2</v>
      </c>
      <c r="F56">
        <v>65</v>
      </c>
      <c r="G56" t="s">
        <v>87</v>
      </c>
      <c r="H56" t="s">
        <v>88</v>
      </c>
      <c r="I56" t="s">
        <v>14</v>
      </c>
    </row>
    <row r="57" spans="1:9" x14ac:dyDescent="0.25">
      <c r="A57" s="2">
        <v>25</v>
      </c>
      <c r="B57" t="s">
        <v>89</v>
      </c>
      <c r="C57" t="s">
        <v>10</v>
      </c>
      <c r="D57" t="s">
        <v>34</v>
      </c>
      <c r="E57" s="1">
        <v>3.125E-2</v>
      </c>
      <c r="F57">
        <v>60</v>
      </c>
      <c r="G57" t="s">
        <v>90</v>
      </c>
      <c r="H57" t="s">
        <v>91</v>
      </c>
      <c r="I57" t="s">
        <v>16</v>
      </c>
    </row>
    <row r="58" spans="1:9" x14ac:dyDescent="0.25">
      <c r="A58" s="2">
        <v>25</v>
      </c>
      <c r="B58" t="s">
        <v>89</v>
      </c>
      <c r="C58" t="s">
        <v>21</v>
      </c>
      <c r="D58" t="s">
        <v>34</v>
      </c>
      <c r="E58" s="1">
        <v>3.125E-2</v>
      </c>
      <c r="F58">
        <v>60</v>
      </c>
      <c r="G58" t="s">
        <v>90</v>
      </c>
      <c r="H58" t="s">
        <v>91</v>
      </c>
      <c r="I58" t="s">
        <v>16</v>
      </c>
    </row>
    <row r="59" spans="1:9" x14ac:dyDescent="0.25">
      <c r="A59" s="2">
        <v>25</v>
      </c>
      <c r="B59" t="s">
        <v>89</v>
      </c>
      <c r="C59" t="s">
        <v>22</v>
      </c>
      <c r="D59" t="s">
        <v>34</v>
      </c>
      <c r="E59" s="1">
        <v>3.125E-2</v>
      </c>
      <c r="F59">
        <v>60</v>
      </c>
      <c r="G59" t="s">
        <v>90</v>
      </c>
      <c r="H59" t="s">
        <v>91</v>
      </c>
      <c r="I59" t="s">
        <v>16</v>
      </c>
    </row>
    <row r="60" spans="1:9" x14ac:dyDescent="0.25">
      <c r="A60" s="2">
        <v>25</v>
      </c>
      <c r="B60" t="s">
        <v>89</v>
      </c>
      <c r="C60" t="s">
        <v>18</v>
      </c>
      <c r="D60" t="s">
        <v>34</v>
      </c>
      <c r="E60" s="1">
        <v>3.125E-2</v>
      </c>
      <c r="F60">
        <v>60</v>
      </c>
      <c r="G60" t="s">
        <v>90</v>
      </c>
      <c r="H60" t="s">
        <v>91</v>
      </c>
      <c r="I60" t="s">
        <v>16</v>
      </c>
    </row>
    <row r="61" spans="1:9" x14ac:dyDescent="0.25">
      <c r="A61" s="2">
        <v>26</v>
      </c>
      <c r="B61" t="s">
        <v>92</v>
      </c>
      <c r="C61" t="s">
        <v>10</v>
      </c>
      <c r="D61" t="s">
        <v>34</v>
      </c>
      <c r="E61" s="1">
        <v>6.25E-2</v>
      </c>
      <c r="F61">
        <v>140</v>
      </c>
      <c r="G61" t="s">
        <v>93</v>
      </c>
      <c r="H61" t="s">
        <v>94</v>
      </c>
      <c r="I61" t="s">
        <v>14</v>
      </c>
    </row>
    <row r="62" spans="1:9" x14ac:dyDescent="0.25">
      <c r="A62" s="2">
        <v>26</v>
      </c>
      <c r="B62" t="s">
        <v>92</v>
      </c>
      <c r="C62" t="s">
        <v>18</v>
      </c>
      <c r="D62" t="s">
        <v>34</v>
      </c>
      <c r="E62" s="1">
        <v>6.25E-2</v>
      </c>
      <c r="F62">
        <v>140</v>
      </c>
      <c r="G62" t="s">
        <v>93</v>
      </c>
      <c r="H62" t="s">
        <v>94</v>
      </c>
      <c r="I62" t="s">
        <v>14</v>
      </c>
    </row>
    <row r="63" spans="1:9" x14ac:dyDescent="0.25">
      <c r="A63" s="2">
        <v>27</v>
      </c>
      <c r="B63" t="s">
        <v>95</v>
      </c>
      <c r="C63" t="s">
        <v>18</v>
      </c>
      <c r="D63" t="s">
        <v>11</v>
      </c>
      <c r="E63" s="1">
        <v>6.25E-2</v>
      </c>
      <c r="F63">
        <v>75</v>
      </c>
      <c r="G63" t="s">
        <v>96</v>
      </c>
      <c r="H63" t="s">
        <v>97</v>
      </c>
      <c r="I63" t="s">
        <v>14</v>
      </c>
    </row>
    <row r="64" spans="1:9" x14ac:dyDescent="0.25">
      <c r="A64" s="2">
        <v>27</v>
      </c>
      <c r="B64" t="s">
        <v>95</v>
      </c>
      <c r="C64" t="s">
        <v>21</v>
      </c>
      <c r="D64" t="s">
        <v>11</v>
      </c>
      <c r="E64" s="1">
        <v>6.25E-2</v>
      </c>
      <c r="F64">
        <v>75</v>
      </c>
      <c r="G64" t="s">
        <v>96</v>
      </c>
      <c r="H64" t="s">
        <v>97</v>
      </c>
      <c r="I64" t="s">
        <v>14</v>
      </c>
    </row>
    <row r="65" spans="1:9" x14ac:dyDescent="0.25">
      <c r="A65" s="2">
        <v>28</v>
      </c>
      <c r="B65" t="s">
        <v>98</v>
      </c>
      <c r="C65" t="s">
        <v>18</v>
      </c>
      <c r="D65" t="s">
        <v>11</v>
      </c>
      <c r="E65" s="1">
        <v>6.25E-2</v>
      </c>
      <c r="F65">
        <v>65</v>
      </c>
      <c r="G65" t="s">
        <v>99</v>
      </c>
      <c r="H65" t="s">
        <v>100</v>
      </c>
      <c r="I65" t="s">
        <v>14</v>
      </c>
    </row>
    <row r="66" spans="1:9" x14ac:dyDescent="0.25">
      <c r="A66" s="2">
        <v>28</v>
      </c>
      <c r="B66" t="s">
        <v>98</v>
      </c>
      <c r="C66" t="s">
        <v>21</v>
      </c>
      <c r="D66" t="s">
        <v>11</v>
      </c>
      <c r="E66" s="1">
        <v>6.25E-2</v>
      </c>
      <c r="F66">
        <v>65</v>
      </c>
      <c r="G66" t="s">
        <v>99</v>
      </c>
      <c r="H66" t="s">
        <v>100</v>
      </c>
      <c r="I66" t="s">
        <v>14</v>
      </c>
    </row>
    <row r="67" spans="1:9" x14ac:dyDescent="0.25">
      <c r="A67" s="2">
        <v>29</v>
      </c>
      <c r="B67" t="s">
        <v>101</v>
      </c>
      <c r="C67" t="s">
        <v>10</v>
      </c>
      <c r="D67" t="s">
        <v>34</v>
      </c>
      <c r="E67" s="1">
        <v>8.3333333333333329E-2</v>
      </c>
      <c r="F67">
        <v>160</v>
      </c>
      <c r="G67" t="s">
        <v>102</v>
      </c>
      <c r="H67" t="s">
        <v>103</v>
      </c>
      <c r="I67" t="s">
        <v>26</v>
      </c>
    </row>
    <row r="68" spans="1:9" x14ac:dyDescent="0.25">
      <c r="A68" s="2">
        <v>30</v>
      </c>
      <c r="B68" t="s">
        <v>104</v>
      </c>
      <c r="C68" t="s">
        <v>10</v>
      </c>
      <c r="D68" t="s">
        <v>34</v>
      </c>
      <c r="E68" s="1">
        <v>8.3333333333333329E-2</v>
      </c>
      <c r="F68">
        <v>130</v>
      </c>
      <c r="G68" t="s">
        <v>105</v>
      </c>
      <c r="H68" t="s">
        <v>106</v>
      </c>
      <c r="I68" t="s">
        <v>26</v>
      </c>
    </row>
    <row r="69" spans="1:9" x14ac:dyDescent="0.25">
      <c r="A69" s="2">
        <v>30</v>
      </c>
      <c r="B69" t="s">
        <v>104</v>
      </c>
      <c r="C69" t="s">
        <v>18</v>
      </c>
      <c r="D69" t="s">
        <v>34</v>
      </c>
      <c r="E69" s="1">
        <v>8.3333333333333329E-2</v>
      </c>
      <c r="F69">
        <v>130</v>
      </c>
      <c r="G69" t="s">
        <v>105</v>
      </c>
      <c r="H69" t="s">
        <v>106</v>
      </c>
      <c r="I69" t="s">
        <v>26</v>
      </c>
    </row>
    <row r="70" spans="1:9" x14ac:dyDescent="0.25">
      <c r="A70" s="2">
        <v>31</v>
      </c>
      <c r="B70" t="s">
        <v>107</v>
      </c>
      <c r="C70" t="s">
        <v>10</v>
      </c>
      <c r="D70" t="s">
        <v>34</v>
      </c>
      <c r="E70" s="1">
        <v>8.3333333333333329E-2</v>
      </c>
      <c r="F70">
        <v>180</v>
      </c>
      <c r="G70" t="s">
        <v>108</v>
      </c>
      <c r="H70" t="s">
        <v>109</v>
      </c>
      <c r="I70" t="s">
        <v>26</v>
      </c>
    </row>
    <row r="71" spans="1:9" x14ac:dyDescent="0.25">
      <c r="A71" s="2">
        <v>31</v>
      </c>
      <c r="B71" t="s">
        <v>107</v>
      </c>
      <c r="C71" t="s">
        <v>18</v>
      </c>
      <c r="D71" t="s">
        <v>34</v>
      </c>
      <c r="E71" s="1">
        <v>8.3333333333333301E-2</v>
      </c>
      <c r="F71">
        <v>180</v>
      </c>
      <c r="G71" t="s">
        <v>108</v>
      </c>
      <c r="H71" t="s">
        <v>109</v>
      </c>
      <c r="I71" t="s">
        <v>26</v>
      </c>
    </row>
    <row r="72" spans="1:9" x14ac:dyDescent="0.25">
      <c r="A72" s="2">
        <v>32</v>
      </c>
      <c r="B72" t="s">
        <v>110</v>
      </c>
      <c r="C72" t="s">
        <v>10</v>
      </c>
      <c r="D72" t="s">
        <v>34</v>
      </c>
      <c r="E72" s="1">
        <v>8.3333333333333301E-2</v>
      </c>
      <c r="F72">
        <v>170</v>
      </c>
      <c r="G72" t="s">
        <v>111</v>
      </c>
      <c r="H72" t="s">
        <v>112</v>
      </c>
      <c r="I72" t="s">
        <v>26</v>
      </c>
    </row>
    <row r="73" spans="1:9" x14ac:dyDescent="0.25">
      <c r="A73" s="2">
        <v>33</v>
      </c>
      <c r="B73" t="s">
        <v>113</v>
      </c>
      <c r="C73" t="s">
        <v>10</v>
      </c>
      <c r="D73" t="s">
        <v>34</v>
      </c>
      <c r="E73" s="1">
        <v>8.3333333333333301E-2</v>
      </c>
      <c r="F73">
        <v>170</v>
      </c>
      <c r="G73" t="s">
        <v>114</v>
      </c>
      <c r="H73" t="s">
        <v>115</v>
      </c>
      <c r="I73" t="s">
        <v>26</v>
      </c>
    </row>
    <row r="74" spans="1:9" x14ac:dyDescent="0.25">
      <c r="A74" s="2">
        <v>34</v>
      </c>
      <c r="B74" t="s">
        <v>116</v>
      </c>
      <c r="C74" t="s">
        <v>10</v>
      </c>
      <c r="D74" t="s">
        <v>34</v>
      </c>
      <c r="E74" s="1">
        <v>8.3333333333333301E-2</v>
      </c>
      <c r="F74">
        <v>190</v>
      </c>
      <c r="G74" t="s">
        <v>117</v>
      </c>
      <c r="H74" t="s">
        <v>118</v>
      </c>
      <c r="I74" t="s">
        <v>26</v>
      </c>
    </row>
    <row r="75" spans="1:9" x14ac:dyDescent="0.25">
      <c r="A75" s="2">
        <v>35</v>
      </c>
      <c r="B75" t="s">
        <v>119</v>
      </c>
      <c r="C75" t="s">
        <v>10</v>
      </c>
      <c r="D75" t="s">
        <v>34</v>
      </c>
      <c r="E75" s="1">
        <v>8.3333333333333301E-2</v>
      </c>
      <c r="F75">
        <v>240</v>
      </c>
      <c r="G75" t="s">
        <v>120</v>
      </c>
      <c r="H75" t="s">
        <v>121</v>
      </c>
      <c r="I75" t="s">
        <v>26</v>
      </c>
    </row>
    <row r="76" spans="1:9" x14ac:dyDescent="0.25">
      <c r="A76" s="2">
        <v>35</v>
      </c>
      <c r="B76" t="s">
        <v>119</v>
      </c>
      <c r="C76" t="s">
        <v>18</v>
      </c>
      <c r="D76" t="s">
        <v>34</v>
      </c>
      <c r="E76" s="1">
        <v>8.3333333333333301E-2</v>
      </c>
      <c r="F76">
        <v>240</v>
      </c>
      <c r="G76" t="s">
        <v>120</v>
      </c>
      <c r="H76" t="s">
        <v>121</v>
      </c>
      <c r="I76" t="s">
        <v>26</v>
      </c>
    </row>
    <row r="77" spans="1:9" x14ac:dyDescent="0.25">
      <c r="A77" s="2">
        <v>36</v>
      </c>
      <c r="B77" t="s">
        <v>122</v>
      </c>
      <c r="C77" t="s">
        <v>10</v>
      </c>
      <c r="D77" t="s">
        <v>34</v>
      </c>
      <c r="E77" s="1">
        <v>6.25E-2</v>
      </c>
      <c r="F77">
        <v>80</v>
      </c>
      <c r="G77" t="s">
        <v>123</v>
      </c>
      <c r="H77" t="s">
        <v>124</v>
      </c>
      <c r="I77" t="s">
        <v>14</v>
      </c>
    </row>
    <row r="78" spans="1:9" x14ac:dyDescent="0.25">
      <c r="A78" s="2">
        <v>36</v>
      </c>
      <c r="B78" t="s">
        <v>122</v>
      </c>
      <c r="C78" t="s">
        <v>18</v>
      </c>
      <c r="D78" t="s">
        <v>34</v>
      </c>
      <c r="E78" s="1">
        <v>6.25E-2</v>
      </c>
      <c r="F78">
        <v>80</v>
      </c>
      <c r="G78" t="s">
        <v>123</v>
      </c>
      <c r="H78" t="s">
        <v>124</v>
      </c>
      <c r="I78" t="s">
        <v>14</v>
      </c>
    </row>
    <row r="79" spans="1:9" x14ac:dyDescent="0.25">
      <c r="A79" s="2">
        <v>37</v>
      </c>
      <c r="B79" t="s">
        <v>125</v>
      </c>
      <c r="C79" t="s">
        <v>10</v>
      </c>
      <c r="D79" t="s">
        <v>34</v>
      </c>
      <c r="E79" s="1">
        <v>0.125</v>
      </c>
      <c r="F79">
        <v>130</v>
      </c>
      <c r="G79" t="s">
        <v>126</v>
      </c>
      <c r="H79" t="s">
        <v>127</v>
      </c>
      <c r="I79" t="s">
        <v>26</v>
      </c>
    </row>
    <row r="80" spans="1:9" x14ac:dyDescent="0.25">
      <c r="A80" s="2">
        <v>38</v>
      </c>
      <c r="B80" t="s">
        <v>128</v>
      </c>
      <c r="C80" t="s">
        <v>10</v>
      </c>
      <c r="D80" t="s">
        <v>34</v>
      </c>
      <c r="E80" s="1">
        <v>4.1666666666666664E-2</v>
      </c>
      <c r="F80">
        <v>160</v>
      </c>
      <c r="G80" t="s">
        <v>129</v>
      </c>
      <c r="H80" t="s">
        <v>130</v>
      </c>
      <c r="I80" t="s">
        <v>16</v>
      </c>
    </row>
    <row r="81" spans="1:9" x14ac:dyDescent="0.25">
      <c r="A81" s="2">
        <v>38</v>
      </c>
      <c r="B81" t="s">
        <v>128</v>
      </c>
      <c r="C81" t="s">
        <v>18</v>
      </c>
      <c r="D81" t="s">
        <v>34</v>
      </c>
      <c r="E81" s="1">
        <v>4.1666666666666664E-2</v>
      </c>
      <c r="F81">
        <v>160</v>
      </c>
      <c r="G81" t="s">
        <v>129</v>
      </c>
      <c r="H81" t="s">
        <v>130</v>
      </c>
      <c r="I81" t="s">
        <v>16</v>
      </c>
    </row>
    <row r="82" spans="1:9" x14ac:dyDescent="0.25">
      <c r="A82" s="2">
        <v>39</v>
      </c>
      <c r="B82" t="s">
        <v>131</v>
      </c>
      <c r="C82" t="s">
        <v>18</v>
      </c>
      <c r="D82" t="s">
        <v>34</v>
      </c>
      <c r="E82" s="1">
        <v>6.25E-2</v>
      </c>
      <c r="F82">
        <v>130</v>
      </c>
      <c r="G82" t="s">
        <v>132</v>
      </c>
      <c r="H82" t="s">
        <v>133</v>
      </c>
      <c r="I82" t="s">
        <v>14</v>
      </c>
    </row>
    <row r="83" spans="1:9" x14ac:dyDescent="0.25">
      <c r="A83" s="2">
        <v>39</v>
      </c>
      <c r="B83" t="s">
        <v>131</v>
      </c>
      <c r="C83" t="s">
        <v>21</v>
      </c>
      <c r="D83" t="s">
        <v>34</v>
      </c>
      <c r="E83" s="1">
        <v>6.25E-2</v>
      </c>
      <c r="F83">
        <v>130</v>
      </c>
      <c r="G83" t="s">
        <v>132</v>
      </c>
      <c r="H83" t="s">
        <v>133</v>
      </c>
      <c r="I83" t="s">
        <v>14</v>
      </c>
    </row>
    <row r="84" spans="1:9" x14ac:dyDescent="0.25">
      <c r="A84" s="2">
        <v>40</v>
      </c>
      <c r="B84" t="s">
        <v>134</v>
      </c>
      <c r="C84" t="s">
        <v>18</v>
      </c>
      <c r="D84" t="s">
        <v>34</v>
      </c>
      <c r="E84" s="1">
        <v>6.25E-2</v>
      </c>
      <c r="F84">
        <v>130</v>
      </c>
      <c r="G84" t="s">
        <v>135</v>
      </c>
      <c r="H84" t="s">
        <v>136</v>
      </c>
      <c r="I84" t="s">
        <v>14</v>
      </c>
    </row>
    <row r="85" spans="1:9" x14ac:dyDescent="0.25">
      <c r="A85" s="2">
        <v>40</v>
      </c>
      <c r="B85" t="s">
        <v>134</v>
      </c>
      <c r="C85" t="s">
        <v>21</v>
      </c>
      <c r="D85" t="s">
        <v>34</v>
      </c>
      <c r="E85" s="1">
        <v>6.25E-2</v>
      </c>
      <c r="F85">
        <v>130</v>
      </c>
      <c r="G85" t="s">
        <v>135</v>
      </c>
      <c r="H85" t="s">
        <v>136</v>
      </c>
      <c r="I85" t="s">
        <v>14</v>
      </c>
    </row>
    <row r="86" spans="1:9" ht="90" x14ac:dyDescent="0.25">
      <c r="A86" s="2">
        <v>41</v>
      </c>
      <c r="B86" t="s">
        <v>137</v>
      </c>
      <c r="C86" t="s">
        <v>10</v>
      </c>
      <c r="D86" t="s">
        <v>34</v>
      </c>
      <c r="E86" s="1">
        <v>6.25E-2</v>
      </c>
      <c r="F86">
        <v>130</v>
      </c>
      <c r="G86" s="6" t="s">
        <v>138</v>
      </c>
      <c r="H86" t="s">
        <v>139</v>
      </c>
      <c r="I86" t="s">
        <v>14</v>
      </c>
    </row>
    <row r="87" spans="1:9" ht="90" x14ac:dyDescent="0.25">
      <c r="A87" s="2">
        <v>41</v>
      </c>
      <c r="B87" t="s">
        <v>137</v>
      </c>
      <c r="C87" t="s">
        <v>18</v>
      </c>
      <c r="D87" t="s">
        <v>34</v>
      </c>
      <c r="E87" s="1">
        <v>6.25E-2</v>
      </c>
      <c r="F87">
        <v>130</v>
      </c>
      <c r="G87" s="6" t="s">
        <v>138</v>
      </c>
      <c r="H87" t="s">
        <v>139</v>
      </c>
      <c r="I87" t="s">
        <v>14</v>
      </c>
    </row>
    <row r="88" spans="1:9" x14ac:dyDescent="0.25">
      <c r="A88" s="2">
        <v>42</v>
      </c>
      <c r="B88" t="s">
        <v>140</v>
      </c>
      <c r="C88" t="s">
        <v>18</v>
      </c>
      <c r="D88" t="s">
        <v>11</v>
      </c>
      <c r="E88" s="1">
        <v>6.25E-2</v>
      </c>
      <c r="F88">
        <v>80</v>
      </c>
      <c r="G88" t="s">
        <v>141</v>
      </c>
      <c r="H88" t="s">
        <v>142</v>
      </c>
      <c r="I88" t="s">
        <v>14</v>
      </c>
    </row>
    <row r="89" spans="1:9" x14ac:dyDescent="0.25">
      <c r="A89" s="2">
        <v>42</v>
      </c>
      <c r="B89" t="s">
        <v>140</v>
      </c>
      <c r="C89" t="s">
        <v>21</v>
      </c>
      <c r="D89" t="s">
        <v>11</v>
      </c>
      <c r="E89" s="1">
        <v>6.25E-2</v>
      </c>
      <c r="F89">
        <v>80</v>
      </c>
      <c r="G89" t="s">
        <v>141</v>
      </c>
      <c r="H89" t="s">
        <v>142</v>
      </c>
      <c r="I89" t="s">
        <v>14</v>
      </c>
    </row>
    <row r="90" spans="1:9" x14ac:dyDescent="0.25">
      <c r="A90" s="2">
        <v>43</v>
      </c>
      <c r="B90" t="s">
        <v>143</v>
      </c>
      <c r="C90" t="s">
        <v>18</v>
      </c>
      <c r="D90" t="s">
        <v>11</v>
      </c>
      <c r="E90" s="1">
        <v>6.25E-2</v>
      </c>
      <c r="F90">
        <v>80</v>
      </c>
      <c r="G90" t="s">
        <v>144</v>
      </c>
      <c r="H90" t="s">
        <v>145</v>
      </c>
      <c r="I90" t="s">
        <v>14</v>
      </c>
    </row>
    <row r="91" spans="1:9" x14ac:dyDescent="0.25">
      <c r="A91" s="2">
        <v>43</v>
      </c>
      <c r="B91" t="s">
        <v>143</v>
      </c>
      <c r="C91" t="s">
        <v>21</v>
      </c>
      <c r="D91" t="s">
        <v>11</v>
      </c>
      <c r="E91" s="1">
        <v>6.25E-2</v>
      </c>
      <c r="F91">
        <v>80</v>
      </c>
      <c r="G91" t="s">
        <v>144</v>
      </c>
      <c r="H91" t="s">
        <v>145</v>
      </c>
      <c r="I91" t="s">
        <v>14</v>
      </c>
    </row>
    <row r="92" spans="1:9" x14ac:dyDescent="0.25">
      <c r="A92" s="2">
        <v>44</v>
      </c>
      <c r="B92" t="s">
        <v>146</v>
      </c>
      <c r="C92" t="s">
        <v>18</v>
      </c>
      <c r="D92" t="s">
        <v>11</v>
      </c>
      <c r="E92" s="1">
        <v>6.25E-2</v>
      </c>
      <c r="F92">
        <v>70</v>
      </c>
      <c r="G92" t="s">
        <v>147</v>
      </c>
      <c r="H92" t="s">
        <v>148</v>
      </c>
      <c r="I92" t="s">
        <v>14</v>
      </c>
    </row>
    <row r="93" spans="1:9" x14ac:dyDescent="0.25">
      <c r="A93" s="2">
        <v>44</v>
      </c>
      <c r="B93" t="s">
        <v>146</v>
      </c>
      <c r="C93" t="s">
        <v>21</v>
      </c>
      <c r="D93" t="s">
        <v>11</v>
      </c>
      <c r="E93" s="1">
        <v>6.25E-2</v>
      </c>
      <c r="F93">
        <v>70</v>
      </c>
      <c r="G93" t="s">
        <v>147</v>
      </c>
      <c r="H93" t="s">
        <v>148</v>
      </c>
      <c r="I93" t="s">
        <v>14</v>
      </c>
    </row>
    <row r="94" spans="1:9" x14ac:dyDescent="0.25">
      <c r="A94" s="2">
        <v>45</v>
      </c>
      <c r="B94" t="s">
        <v>149</v>
      </c>
      <c r="C94" t="s">
        <v>18</v>
      </c>
      <c r="D94" t="s">
        <v>11</v>
      </c>
      <c r="E94" s="1">
        <v>8.3333333333333329E-2</v>
      </c>
      <c r="F94">
        <v>110</v>
      </c>
      <c r="G94" t="s">
        <v>150</v>
      </c>
      <c r="H94" t="s">
        <v>151</v>
      </c>
      <c r="I94" t="s">
        <v>26</v>
      </c>
    </row>
    <row r="95" spans="1:9" x14ac:dyDescent="0.25">
      <c r="A95" s="2">
        <v>45</v>
      </c>
      <c r="B95" t="s">
        <v>149</v>
      </c>
      <c r="C95" t="s">
        <v>21</v>
      </c>
      <c r="D95" t="s">
        <v>11</v>
      </c>
      <c r="E95" s="1">
        <v>8.3333333333333329E-2</v>
      </c>
      <c r="F95">
        <v>110</v>
      </c>
      <c r="G95" t="s">
        <v>150</v>
      </c>
      <c r="H95" t="s">
        <v>151</v>
      </c>
      <c r="I95" t="s">
        <v>26</v>
      </c>
    </row>
    <row r="96" spans="1:9" x14ac:dyDescent="0.25">
      <c r="A96" s="2">
        <v>46</v>
      </c>
      <c r="B96" t="s">
        <v>152</v>
      </c>
      <c r="C96" t="s">
        <v>18</v>
      </c>
      <c r="D96" t="s">
        <v>34</v>
      </c>
      <c r="E96" s="1">
        <v>6.25E-2</v>
      </c>
      <c r="F96">
        <v>90</v>
      </c>
      <c r="G96" t="s">
        <v>153</v>
      </c>
      <c r="H96" t="s">
        <v>154</v>
      </c>
      <c r="I96" t="s">
        <v>14</v>
      </c>
    </row>
    <row r="97" spans="1:9" x14ac:dyDescent="0.25">
      <c r="A97" s="2">
        <v>46</v>
      </c>
      <c r="B97" t="s">
        <v>152</v>
      </c>
      <c r="C97" t="s">
        <v>21</v>
      </c>
      <c r="D97" t="s">
        <v>34</v>
      </c>
      <c r="E97" s="1">
        <v>6.25E-2</v>
      </c>
      <c r="F97">
        <v>90</v>
      </c>
      <c r="G97" t="s">
        <v>153</v>
      </c>
      <c r="H97" t="s">
        <v>154</v>
      </c>
      <c r="I97" t="s">
        <v>14</v>
      </c>
    </row>
    <row r="98" spans="1:9" x14ac:dyDescent="0.25">
      <c r="A98" s="2">
        <v>47</v>
      </c>
      <c r="B98" t="s">
        <v>155</v>
      </c>
      <c r="C98" t="s">
        <v>18</v>
      </c>
      <c r="D98" t="s">
        <v>11</v>
      </c>
      <c r="E98" s="1">
        <v>6.25E-2</v>
      </c>
      <c r="F98">
        <v>100</v>
      </c>
      <c r="G98" t="s">
        <v>156</v>
      </c>
      <c r="H98" t="s">
        <v>157</v>
      </c>
      <c r="I98" t="s">
        <v>14</v>
      </c>
    </row>
    <row r="99" spans="1:9" x14ac:dyDescent="0.25">
      <c r="A99" s="2">
        <v>47</v>
      </c>
      <c r="B99" t="s">
        <v>155</v>
      </c>
      <c r="C99" t="s">
        <v>21</v>
      </c>
      <c r="D99" t="s">
        <v>11</v>
      </c>
      <c r="E99" s="1">
        <v>6.25E-2</v>
      </c>
      <c r="F99">
        <v>100</v>
      </c>
      <c r="G99" t="s">
        <v>156</v>
      </c>
      <c r="H99" t="s">
        <v>157</v>
      </c>
      <c r="I99" t="s">
        <v>14</v>
      </c>
    </row>
    <row r="100" spans="1:9" x14ac:dyDescent="0.25">
      <c r="A100" s="2">
        <v>48</v>
      </c>
      <c r="B100" t="s">
        <v>158</v>
      </c>
      <c r="C100" t="s">
        <v>18</v>
      </c>
      <c r="D100" t="s">
        <v>11</v>
      </c>
      <c r="E100" s="1">
        <v>6.25E-2</v>
      </c>
      <c r="F100">
        <v>100</v>
      </c>
      <c r="G100" t="s">
        <v>156</v>
      </c>
      <c r="H100" t="s">
        <v>159</v>
      </c>
      <c r="I100" t="s">
        <v>14</v>
      </c>
    </row>
    <row r="101" spans="1:9" x14ac:dyDescent="0.25">
      <c r="A101" s="2">
        <v>48</v>
      </c>
      <c r="B101" t="s">
        <v>158</v>
      </c>
      <c r="C101" t="s">
        <v>21</v>
      </c>
      <c r="D101" t="s">
        <v>11</v>
      </c>
      <c r="E101" s="1">
        <v>6.25E-2</v>
      </c>
      <c r="F101">
        <v>100</v>
      </c>
      <c r="G101" t="s">
        <v>156</v>
      </c>
      <c r="H101" t="s">
        <v>159</v>
      </c>
      <c r="I101" t="s">
        <v>14</v>
      </c>
    </row>
    <row r="102" spans="1:9" x14ac:dyDescent="0.25">
      <c r="A102" s="2">
        <v>48</v>
      </c>
      <c r="B102" t="s">
        <v>158</v>
      </c>
      <c r="C102" t="s">
        <v>10</v>
      </c>
      <c r="D102" t="s">
        <v>11</v>
      </c>
      <c r="E102" s="1">
        <v>6.25E-2</v>
      </c>
      <c r="F102">
        <v>100</v>
      </c>
      <c r="G102" t="s">
        <v>156</v>
      </c>
      <c r="H102" t="s">
        <v>159</v>
      </c>
      <c r="I102" t="s">
        <v>14</v>
      </c>
    </row>
    <row r="103" spans="1:9" x14ac:dyDescent="0.25">
      <c r="A103" s="2">
        <v>48</v>
      </c>
      <c r="B103" t="s">
        <v>160</v>
      </c>
      <c r="C103" t="s">
        <v>18</v>
      </c>
      <c r="D103" t="s">
        <v>11</v>
      </c>
      <c r="E103" s="1">
        <v>6.25E-2</v>
      </c>
      <c r="F103">
        <v>110</v>
      </c>
      <c r="G103" t="s">
        <v>161</v>
      </c>
      <c r="H103" t="s">
        <v>162</v>
      </c>
      <c r="I103" t="s">
        <v>14</v>
      </c>
    </row>
    <row r="104" spans="1:9" x14ac:dyDescent="0.25">
      <c r="A104" s="2">
        <v>48</v>
      </c>
      <c r="B104" t="s">
        <v>160</v>
      </c>
      <c r="C104" t="s">
        <v>21</v>
      </c>
      <c r="D104" t="s">
        <v>11</v>
      </c>
      <c r="E104" s="1">
        <v>6.25E-2</v>
      </c>
      <c r="F104">
        <v>110</v>
      </c>
      <c r="G104" t="s">
        <v>161</v>
      </c>
      <c r="H104" t="s">
        <v>162</v>
      </c>
      <c r="I104" t="s">
        <v>14</v>
      </c>
    </row>
    <row r="105" spans="1:9" x14ac:dyDescent="0.25">
      <c r="A105" s="2">
        <v>48</v>
      </c>
      <c r="B105" t="s">
        <v>160</v>
      </c>
      <c r="C105" t="s">
        <v>10</v>
      </c>
      <c r="D105" t="s">
        <v>11</v>
      </c>
      <c r="E105" s="1">
        <v>6.25E-2</v>
      </c>
      <c r="F105">
        <v>110</v>
      </c>
      <c r="G105" t="s">
        <v>161</v>
      </c>
      <c r="H105" t="s">
        <v>162</v>
      </c>
      <c r="I105" t="s">
        <v>14</v>
      </c>
    </row>
    <row r="106" spans="1:9" x14ac:dyDescent="0.25">
      <c r="A106" s="2">
        <v>49</v>
      </c>
      <c r="B106" t="s">
        <v>163</v>
      </c>
      <c r="C106" t="s">
        <v>10</v>
      </c>
      <c r="D106" t="s">
        <v>34</v>
      </c>
      <c r="E106" s="1">
        <v>8.3333333333333329E-2</v>
      </c>
      <c r="F106">
        <v>170</v>
      </c>
      <c r="G106" t="s">
        <v>164</v>
      </c>
      <c r="H106" t="s">
        <v>165</v>
      </c>
      <c r="I106" t="s">
        <v>26</v>
      </c>
    </row>
    <row r="107" spans="1:9" x14ac:dyDescent="0.25">
      <c r="A107" s="2">
        <v>50</v>
      </c>
      <c r="B107" t="s">
        <v>166</v>
      </c>
      <c r="C107" t="s">
        <v>10</v>
      </c>
      <c r="D107" t="s">
        <v>34</v>
      </c>
      <c r="E107" s="1">
        <v>8.3333333333333329E-2</v>
      </c>
      <c r="F107">
        <v>170</v>
      </c>
      <c r="G107" t="s">
        <v>167</v>
      </c>
      <c r="H107" t="s">
        <v>168</v>
      </c>
      <c r="I107" t="s">
        <v>26</v>
      </c>
    </row>
    <row r="108" spans="1:9" x14ac:dyDescent="0.25">
      <c r="A108" s="2">
        <v>51</v>
      </c>
      <c r="B108" t="s">
        <v>169</v>
      </c>
      <c r="C108" t="s">
        <v>18</v>
      </c>
      <c r="D108" t="s">
        <v>34</v>
      </c>
      <c r="E108" s="1">
        <v>0.125</v>
      </c>
      <c r="F108">
        <v>145</v>
      </c>
      <c r="G108" t="s">
        <v>170</v>
      </c>
      <c r="H108" t="s">
        <v>171</v>
      </c>
      <c r="I108" t="s">
        <v>26</v>
      </c>
    </row>
    <row r="109" spans="1:9" x14ac:dyDescent="0.25">
      <c r="A109" s="2">
        <v>51</v>
      </c>
      <c r="B109" t="s">
        <v>169</v>
      </c>
      <c r="C109" t="s">
        <v>21</v>
      </c>
      <c r="D109" t="s">
        <v>34</v>
      </c>
      <c r="E109" s="1">
        <v>0.125</v>
      </c>
      <c r="F109">
        <v>145</v>
      </c>
      <c r="G109" t="s">
        <v>170</v>
      </c>
      <c r="H109" t="s">
        <v>171</v>
      </c>
      <c r="I109" t="s">
        <v>26</v>
      </c>
    </row>
    <row r="110" spans="1:9" x14ac:dyDescent="0.25">
      <c r="A110" s="2">
        <v>52</v>
      </c>
      <c r="B110" t="s">
        <v>172</v>
      </c>
      <c r="C110" t="s">
        <v>10</v>
      </c>
      <c r="D110" t="s">
        <v>34</v>
      </c>
      <c r="E110" s="1">
        <v>0.125</v>
      </c>
      <c r="F110">
        <v>130</v>
      </c>
      <c r="G110" t="s">
        <v>173</v>
      </c>
      <c r="H110" t="s">
        <v>174</v>
      </c>
      <c r="I110" t="s">
        <v>26</v>
      </c>
    </row>
    <row r="111" spans="1:9" x14ac:dyDescent="0.25">
      <c r="A111" s="2">
        <v>52</v>
      </c>
      <c r="B111" t="s">
        <v>172</v>
      </c>
      <c r="C111" t="s">
        <v>21</v>
      </c>
      <c r="D111" t="s">
        <v>34</v>
      </c>
      <c r="E111" s="1">
        <v>0.125</v>
      </c>
      <c r="F111">
        <v>130</v>
      </c>
      <c r="G111" t="s">
        <v>173</v>
      </c>
      <c r="H111" t="s">
        <v>174</v>
      </c>
      <c r="I111" t="s">
        <v>26</v>
      </c>
    </row>
    <row r="112" spans="1:9" x14ac:dyDescent="0.25">
      <c r="A112" s="2">
        <v>52</v>
      </c>
      <c r="B112" t="s">
        <v>172</v>
      </c>
      <c r="C112" t="s">
        <v>18</v>
      </c>
      <c r="D112" t="s">
        <v>34</v>
      </c>
      <c r="E112" s="1">
        <v>0.125</v>
      </c>
      <c r="F112">
        <v>130</v>
      </c>
      <c r="G112" t="s">
        <v>173</v>
      </c>
      <c r="H112" t="s">
        <v>174</v>
      </c>
      <c r="I112" t="s">
        <v>26</v>
      </c>
    </row>
    <row r="113" spans="1:9" x14ac:dyDescent="0.25">
      <c r="A113" s="2">
        <v>53</v>
      </c>
      <c r="B113" t="s">
        <v>175</v>
      </c>
      <c r="C113" t="s">
        <v>18</v>
      </c>
      <c r="D113" t="s">
        <v>11</v>
      </c>
      <c r="E113" s="1">
        <v>6.25E-2</v>
      </c>
      <c r="F113">
        <v>70</v>
      </c>
      <c r="G113" t="s">
        <v>176</v>
      </c>
      <c r="H113" t="s">
        <v>177</v>
      </c>
      <c r="I113" t="s">
        <v>14</v>
      </c>
    </row>
    <row r="114" spans="1:9" x14ac:dyDescent="0.25">
      <c r="A114" s="2">
        <v>53</v>
      </c>
      <c r="B114" t="s">
        <v>175</v>
      </c>
      <c r="C114" t="s">
        <v>21</v>
      </c>
      <c r="D114" t="s">
        <v>11</v>
      </c>
      <c r="E114" s="1">
        <v>6.25E-2</v>
      </c>
      <c r="F114">
        <v>70</v>
      </c>
      <c r="G114" t="s">
        <v>176</v>
      </c>
      <c r="H114" t="s">
        <v>177</v>
      </c>
      <c r="I114" t="s">
        <v>14</v>
      </c>
    </row>
    <row r="115" spans="1:9" x14ac:dyDescent="0.25">
      <c r="A115" s="2">
        <v>54</v>
      </c>
      <c r="B115" t="s">
        <v>178</v>
      </c>
      <c r="C115" t="s">
        <v>18</v>
      </c>
      <c r="D115" t="s">
        <v>11</v>
      </c>
      <c r="E115" s="1">
        <v>6.25E-2</v>
      </c>
      <c r="F115">
        <v>90</v>
      </c>
      <c r="G115" t="s">
        <v>179</v>
      </c>
      <c r="H115" t="s">
        <v>180</v>
      </c>
      <c r="I115" t="s">
        <v>14</v>
      </c>
    </row>
    <row r="116" spans="1:9" x14ac:dyDescent="0.25">
      <c r="A116" s="2">
        <v>54</v>
      </c>
      <c r="B116" t="s">
        <v>178</v>
      </c>
      <c r="C116" t="s">
        <v>21</v>
      </c>
      <c r="D116" t="s">
        <v>11</v>
      </c>
      <c r="E116" s="1">
        <v>6.25E-2</v>
      </c>
      <c r="F116">
        <v>90</v>
      </c>
      <c r="G116" t="s">
        <v>179</v>
      </c>
      <c r="H116" t="s">
        <v>180</v>
      </c>
      <c r="I116" t="s">
        <v>14</v>
      </c>
    </row>
    <row r="117" spans="1:9" x14ac:dyDescent="0.25">
      <c r="A117" s="2">
        <v>55</v>
      </c>
      <c r="B117" t="s">
        <v>181</v>
      </c>
      <c r="C117" t="s">
        <v>18</v>
      </c>
      <c r="D117" t="s">
        <v>11</v>
      </c>
      <c r="E117" s="1">
        <v>6.25E-2</v>
      </c>
      <c r="F117">
        <v>75</v>
      </c>
      <c r="G117" t="s">
        <v>182</v>
      </c>
      <c r="H117" t="s">
        <v>183</v>
      </c>
      <c r="I117" t="s">
        <v>14</v>
      </c>
    </row>
    <row r="118" spans="1:9" x14ac:dyDescent="0.25">
      <c r="A118" s="2">
        <v>55</v>
      </c>
      <c r="B118" t="s">
        <v>181</v>
      </c>
      <c r="C118" t="s">
        <v>21</v>
      </c>
      <c r="D118" t="s">
        <v>11</v>
      </c>
      <c r="E118" s="1">
        <v>6.25E-2</v>
      </c>
      <c r="F118">
        <v>75</v>
      </c>
      <c r="G118" t="s">
        <v>182</v>
      </c>
      <c r="H118" t="s">
        <v>184</v>
      </c>
      <c r="I118" t="s">
        <v>14</v>
      </c>
    </row>
    <row r="119" spans="1:9" x14ac:dyDescent="0.25">
      <c r="A119" s="2">
        <v>56</v>
      </c>
      <c r="B119" t="s">
        <v>185</v>
      </c>
      <c r="C119" t="s">
        <v>18</v>
      </c>
      <c r="D119" t="s">
        <v>34</v>
      </c>
      <c r="E119" s="1">
        <v>8.3333333333333329E-2</v>
      </c>
      <c r="F119">
        <v>150</v>
      </c>
      <c r="G119" t="s">
        <v>186</v>
      </c>
      <c r="H119" t="s">
        <v>187</v>
      </c>
      <c r="I119" t="s">
        <v>26</v>
      </c>
    </row>
    <row r="120" spans="1:9" x14ac:dyDescent="0.25">
      <c r="A120" s="2">
        <v>56</v>
      </c>
      <c r="B120" t="s">
        <v>185</v>
      </c>
      <c r="C120" t="s">
        <v>21</v>
      </c>
      <c r="D120" t="s">
        <v>34</v>
      </c>
      <c r="E120" s="1">
        <v>8.3333333333333329E-2</v>
      </c>
      <c r="F120">
        <v>150</v>
      </c>
      <c r="G120" t="s">
        <v>186</v>
      </c>
      <c r="H120" t="s">
        <v>187</v>
      </c>
      <c r="I120" t="s">
        <v>26</v>
      </c>
    </row>
    <row r="121" spans="1:9" x14ac:dyDescent="0.25">
      <c r="A121" s="2">
        <v>56</v>
      </c>
      <c r="B121" t="s">
        <v>185</v>
      </c>
      <c r="C121" t="s">
        <v>10</v>
      </c>
      <c r="D121" t="s">
        <v>34</v>
      </c>
      <c r="E121" s="1">
        <v>8.3333333333333329E-2</v>
      </c>
      <c r="F121">
        <v>150</v>
      </c>
      <c r="G121" t="s">
        <v>186</v>
      </c>
      <c r="H121" t="s">
        <v>187</v>
      </c>
      <c r="I121" t="s">
        <v>26</v>
      </c>
    </row>
    <row r="122" spans="1:9" x14ac:dyDescent="0.25">
      <c r="A122" s="2">
        <v>56</v>
      </c>
      <c r="B122" t="s">
        <v>185</v>
      </c>
      <c r="C122" t="s">
        <v>22</v>
      </c>
      <c r="D122" t="s">
        <v>34</v>
      </c>
      <c r="E122" s="1">
        <v>8.3333333333333329E-2</v>
      </c>
      <c r="F122">
        <v>150</v>
      </c>
      <c r="G122" t="s">
        <v>186</v>
      </c>
      <c r="H122" t="s">
        <v>187</v>
      </c>
      <c r="I122" t="s">
        <v>26</v>
      </c>
    </row>
    <row r="123" spans="1:9" x14ac:dyDescent="0.25">
      <c r="A123" s="2">
        <v>57</v>
      </c>
      <c r="B123" t="s">
        <v>188</v>
      </c>
      <c r="C123" t="s">
        <v>10</v>
      </c>
      <c r="D123" t="s">
        <v>34</v>
      </c>
      <c r="E123" s="1">
        <v>8.3333333333333329E-2</v>
      </c>
      <c r="F123">
        <v>190</v>
      </c>
      <c r="G123" t="s">
        <v>189</v>
      </c>
      <c r="H123" t="s">
        <v>190</v>
      </c>
      <c r="I123" t="s">
        <v>26</v>
      </c>
    </row>
    <row r="124" spans="1:9" x14ac:dyDescent="0.25">
      <c r="A124" s="2">
        <v>57</v>
      </c>
      <c r="B124" t="s">
        <v>188</v>
      </c>
      <c r="C124" t="s">
        <v>18</v>
      </c>
      <c r="D124" t="s">
        <v>34</v>
      </c>
      <c r="E124" s="1">
        <v>8.3333333333333329E-2</v>
      </c>
      <c r="F124">
        <v>190</v>
      </c>
      <c r="G124" t="s">
        <v>189</v>
      </c>
      <c r="H124" t="s">
        <v>190</v>
      </c>
      <c r="I124" t="s">
        <v>26</v>
      </c>
    </row>
    <row r="125" spans="1:9" x14ac:dyDescent="0.25">
      <c r="A125" s="2">
        <v>58</v>
      </c>
      <c r="B125" t="s">
        <v>191</v>
      </c>
      <c r="C125" t="s">
        <v>10</v>
      </c>
      <c r="D125" t="s">
        <v>34</v>
      </c>
      <c r="E125" s="1">
        <v>8.3333333333333329E-2</v>
      </c>
      <c r="F125">
        <v>170</v>
      </c>
      <c r="G125" t="s">
        <v>192</v>
      </c>
      <c r="H125" t="s">
        <v>193</v>
      </c>
      <c r="I125" t="s">
        <v>26</v>
      </c>
    </row>
    <row r="126" spans="1:9" x14ac:dyDescent="0.25">
      <c r="A126" s="2">
        <v>58</v>
      </c>
      <c r="B126" t="s">
        <v>191</v>
      </c>
      <c r="C126" t="s">
        <v>18</v>
      </c>
      <c r="D126" t="s">
        <v>34</v>
      </c>
      <c r="E126" s="1">
        <v>8.3333333333333329E-2</v>
      </c>
      <c r="F126">
        <v>170</v>
      </c>
      <c r="G126" t="s">
        <v>192</v>
      </c>
      <c r="H126" t="s">
        <v>193</v>
      </c>
      <c r="I126" t="s">
        <v>26</v>
      </c>
    </row>
    <row r="127" spans="1:9" x14ac:dyDescent="0.25">
      <c r="A127" s="2">
        <v>59</v>
      </c>
      <c r="B127" t="s">
        <v>194</v>
      </c>
      <c r="C127" t="s">
        <v>10</v>
      </c>
      <c r="D127" t="s">
        <v>34</v>
      </c>
      <c r="E127" s="1">
        <v>8.3333333333333329E-2</v>
      </c>
      <c r="F127">
        <v>699</v>
      </c>
      <c r="G127" t="s">
        <v>195</v>
      </c>
      <c r="H127" t="s">
        <v>196</v>
      </c>
      <c r="I127" t="s">
        <v>26</v>
      </c>
    </row>
    <row r="128" spans="1:9" x14ac:dyDescent="0.25">
      <c r="A128" s="2">
        <v>59</v>
      </c>
      <c r="B128" t="s">
        <v>194</v>
      </c>
      <c r="C128" t="s">
        <v>18</v>
      </c>
      <c r="D128" t="s">
        <v>34</v>
      </c>
      <c r="E128" s="1">
        <v>8.3333333333333329E-2</v>
      </c>
      <c r="F128">
        <v>699</v>
      </c>
      <c r="G128" t="s">
        <v>195</v>
      </c>
      <c r="H128" t="s">
        <v>196</v>
      </c>
      <c r="I128" t="s">
        <v>26</v>
      </c>
    </row>
    <row r="129" spans="1:9" x14ac:dyDescent="0.25">
      <c r="A129" s="2">
        <v>59</v>
      </c>
      <c r="B129" t="s">
        <v>194</v>
      </c>
      <c r="C129" t="s">
        <v>22</v>
      </c>
      <c r="D129" t="s">
        <v>34</v>
      </c>
      <c r="E129" s="1">
        <v>8.3333333333333329E-2</v>
      </c>
      <c r="F129">
        <v>699</v>
      </c>
      <c r="G129" t="s">
        <v>195</v>
      </c>
      <c r="H129" t="s">
        <v>196</v>
      </c>
      <c r="I129" t="s">
        <v>26</v>
      </c>
    </row>
    <row r="130" spans="1:9" x14ac:dyDescent="0.25">
      <c r="A130" s="2">
        <v>59</v>
      </c>
      <c r="B130" t="s">
        <v>194</v>
      </c>
      <c r="C130" t="s">
        <v>21</v>
      </c>
      <c r="D130" t="s">
        <v>34</v>
      </c>
      <c r="E130" s="1">
        <v>8.3333333333333329E-2</v>
      </c>
      <c r="F130">
        <v>699</v>
      </c>
      <c r="G130" t="s">
        <v>195</v>
      </c>
      <c r="H130" t="s">
        <v>196</v>
      </c>
      <c r="I130" t="s">
        <v>26</v>
      </c>
    </row>
    <row r="131" spans="1:9" x14ac:dyDescent="0.25">
      <c r="A131" s="2">
        <v>60</v>
      </c>
      <c r="B131" t="s">
        <v>197</v>
      </c>
      <c r="C131" t="s">
        <v>10</v>
      </c>
      <c r="D131" t="s">
        <v>198</v>
      </c>
      <c r="E131" s="1">
        <v>2.0833333333333332E-2</v>
      </c>
      <c r="F131">
        <v>80</v>
      </c>
      <c r="G131" t="s">
        <v>199</v>
      </c>
      <c r="H131" t="s">
        <v>200</v>
      </c>
      <c r="I131" t="s">
        <v>16</v>
      </c>
    </row>
    <row r="132" spans="1:9" x14ac:dyDescent="0.25">
      <c r="A132" s="2">
        <v>60</v>
      </c>
      <c r="B132" t="s">
        <v>197</v>
      </c>
      <c r="C132" t="s">
        <v>18</v>
      </c>
      <c r="D132" t="s">
        <v>198</v>
      </c>
      <c r="E132" s="1">
        <v>2.0833333333333332E-2</v>
      </c>
      <c r="F132">
        <v>80</v>
      </c>
      <c r="G132" t="s">
        <v>199</v>
      </c>
      <c r="H132" t="s">
        <v>200</v>
      </c>
      <c r="I132" t="s">
        <v>16</v>
      </c>
    </row>
    <row r="133" spans="1:9" x14ac:dyDescent="0.25">
      <c r="A133" s="2">
        <v>60</v>
      </c>
      <c r="B133" t="s">
        <v>197</v>
      </c>
      <c r="C133" t="s">
        <v>22</v>
      </c>
      <c r="D133" t="s">
        <v>198</v>
      </c>
      <c r="E133" s="1">
        <v>2.0833333333333332E-2</v>
      </c>
      <c r="F133">
        <v>80</v>
      </c>
      <c r="G133" t="s">
        <v>199</v>
      </c>
      <c r="H133" t="s">
        <v>200</v>
      </c>
      <c r="I133" t="s">
        <v>16</v>
      </c>
    </row>
    <row r="134" spans="1:9" x14ac:dyDescent="0.25">
      <c r="A134" s="2">
        <v>60</v>
      </c>
      <c r="B134" t="s">
        <v>197</v>
      </c>
      <c r="C134" t="s">
        <v>21</v>
      </c>
      <c r="D134" t="s">
        <v>198</v>
      </c>
      <c r="E134" s="1">
        <v>2.0833333333333332E-2</v>
      </c>
      <c r="F134">
        <v>80</v>
      </c>
      <c r="G134" t="s">
        <v>199</v>
      </c>
      <c r="H134" t="s">
        <v>200</v>
      </c>
      <c r="I134" t="s">
        <v>16</v>
      </c>
    </row>
    <row r="135" spans="1:9" x14ac:dyDescent="0.25">
      <c r="A135" s="2">
        <v>61</v>
      </c>
      <c r="B135" t="s">
        <v>201</v>
      </c>
      <c r="C135" t="s">
        <v>10</v>
      </c>
      <c r="D135" t="s">
        <v>11</v>
      </c>
      <c r="E135" s="1">
        <v>6.25E-2</v>
      </c>
      <c r="F135">
        <v>180</v>
      </c>
      <c r="G135" t="s">
        <v>202</v>
      </c>
      <c r="H135" t="s">
        <v>203</v>
      </c>
      <c r="I135" t="s">
        <v>14</v>
      </c>
    </row>
    <row r="136" spans="1:9" x14ac:dyDescent="0.25">
      <c r="A136" s="2">
        <v>61</v>
      </c>
      <c r="B136" t="s">
        <v>201</v>
      </c>
      <c r="C136" t="s">
        <v>18</v>
      </c>
      <c r="D136" t="s">
        <v>11</v>
      </c>
      <c r="E136" s="1">
        <v>6.25E-2</v>
      </c>
      <c r="F136">
        <v>180</v>
      </c>
      <c r="G136" t="s">
        <v>202</v>
      </c>
      <c r="H136" t="s">
        <v>203</v>
      </c>
      <c r="I136" t="s">
        <v>14</v>
      </c>
    </row>
    <row r="137" spans="1:9" x14ac:dyDescent="0.25">
      <c r="A137" s="2">
        <v>61</v>
      </c>
      <c r="B137" t="s">
        <v>201</v>
      </c>
      <c r="C137" t="s">
        <v>22</v>
      </c>
      <c r="D137" t="s">
        <v>11</v>
      </c>
      <c r="E137" s="1">
        <v>6.25E-2</v>
      </c>
      <c r="F137">
        <v>180</v>
      </c>
      <c r="G137" t="s">
        <v>202</v>
      </c>
      <c r="H137" t="s">
        <v>203</v>
      </c>
      <c r="I137" t="s">
        <v>14</v>
      </c>
    </row>
    <row r="138" spans="1:9" x14ac:dyDescent="0.25">
      <c r="A138" s="2">
        <v>61</v>
      </c>
      <c r="B138" t="s">
        <v>201</v>
      </c>
      <c r="C138" t="s">
        <v>21</v>
      </c>
      <c r="D138" t="s">
        <v>11</v>
      </c>
      <c r="E138" s="1">
        <v>6.25E-2</v>
      </c>
      <c r="F138">
        <v>180</v>
      </c>
      <c r="G138" t="s">
        <v>202</v>
      </c>
      <c r="H138" t="s">
        <v>203</v>
      </c>
      <c r="I138" t="s">
        <v>14</v>
      </c>
    </row>
    <row r="139" spans="1:9" x14ac:dyDescent="0.25">
      <c r="A139" s="2">
        <v>62</v>
      </c>
      <c r="B139" t="s">
        <v>204</v>
      </c>
      <c r="C139" t="s">
        <v>10</v>
      </c>
      <c r="D139" t="s">
        <v>11</v>
      </c>
      <c r="E139" s="1">
        <v>4.1666666666666664E-2</v>
      </c>
      <c r="F139">
        <v>75</v>
      </c>
      <c r="G139" t="s">
        <v>205</v>
      </c>
      <c r="H139" t="s">
        <v>206</v>
      </c>
      <c r="I139" t="s">
        <v>16</v>
      </c>
    </row>
    <row r="140" spans="1:9" x14ac:dyDescent="0.25">
      <c r="A140" s="2">
        <v>62</v>
      </c>
      <c r="B140" t="s">
        <v>204</v>
      </c>
      <c r="C140" t="s">
        <v>18</v>
      </c>
      <c r="D140" t="s">
        <v>11</v>
      </c>
      <c r="E140" s="1">
        <v>4.1666666666666664E-2</v>
      </c>
      <c r="F140">
        <v>75</v>
      </c>
      <c r="G140" t="s">
        <v>205</v>
      </c>
      <c r="H140" t="s">
        <v>206</v>
      </c>
      <c r="I140" t="s">
        <v>16</v>
      </c>
    </row>
    <row r="141" spans="1:9" x14ac:dyDescent="0.25">
      <c r="A141" s="2">
        <v>62</v>
      </c>
      <c r="B141" t="s">
        <v>204</v>
      </c>
      <c r="C141" t="s">
        <v>22</v>
      </c>
      <c r="D141" t="s">
        <v>11</v>
      </c>
      <c r="E141" s="1">
        <v>4.1666666666666664E-2</v>
      </c>
      <c r="F141">
        <v>75</v>
      </c>
      <c r="G141" t="s">
        <v>205</v>
      </c>
      <c r="H141" t="s">
        <v>206</v>
      </c>
      <c r="I141" t="s">
        <v>16</v>
      </c>
    </row>
    <row r="142" spans="1:9" x14ac:dyDescent="0.25">
      <c r="A142" s="2">
        <v>62</v>
      </c>
      <c r="B142" t="s">
        <v>204</v>
      </c>
      <c r="C142" t="s">
        <v>21</v>
      </c>
      <c r="D142" t="s">
        <v>11</v>
      </c>
      <c r="E142" s="1">
        <v>4.1666666666666664E-2</v>
      </c>
      <c r="F142">
        <v>75</v>
      </c>
      <c r="G142" t="s">
        <v>205</v>
      </c>
      <c r="H142" t="s">
        <v>206</v>
      </c>
      <c r="I142" t="s">
        <v>16</v>
      </c>
    </row>
    <row r="143" spans="1:9" x14ac:dyDescent="0.25">
      <c r="A143" s="2">
        <v>63</v>
      </c>
      <c r="B143" t="s">
        <v>207</v>
      </c>
      <c r="C143" t="s">
        <v>10</v>
      </c>
      <c r="D143" t="s">
        <v>11</v>
      </c>
      <c r="E143" s="1">
        <v>4.1666666666666664E-2</v>
      </c>
      <c r="F143">
        <v>75</v>
      </c>
      <c r="G143" t="s">
        <v>208</v>
      </c>
      <c r="H143" t="s">
        <v>206</v>
      </c>
      <c r="I143" t="s">
        <v>16</v>
      </c>
    </row>
    <row r="144" spans="1:9" x14ac:dyDescent="0.25">
      <c r="A144" s="2">
        <v>63</v>
      </c>
      <c r="B144" t="s">
        <v>207</v>
      </c>
      <c r="C144" t="s">
        <v>18</v>
      </c>
      <c r="D144" t="s">
        <v>11</v>
      </c>
      <c r="E144" s="1">
        <v>4.1666666666666664E-2</v>
      </c>
      <c r="F144">
        <v>75</v>
      </c>
      <c r="G144" t="s">
        <v>208</v>
      </c>
      <c r="H144" t="s">
        <v>206</v>
      </c>
      <c r="I144" t="s">
        <v>16</v>
      </c>
    </row>
    <row r="145" spans="1:9" x14ac:dyDescent="0.25">
      <c r="A145" s="2">
        <v>63</v>
      </c>
      <c r="B145" t="s">
        <v>207</v>
      </c>
      <c r="C145" t="s">
        <v>22</v>
      </c>
      <c r="D145" t="s">
        <v>11</v>
      </c>
      <c r="E145" s="1">
        <v>4.1666666666666664E-2</v>
      </c>
      <c r="F145">
        <v>75</v>
      </c>
      <c r="G145" t="s">
        <v>208</v>
      </c>
      <c r="H145" t="s">
        <v>206</v>
      </c>
      <c r="I145" t="s">
        <v>16</v>
      </c>
    </row>
    <row r="146" spans="1:9" x14ac:dyDescent="0.25">
      <c r="A146" s="2">
        <v>63</v>
      </c>
      <c r="B146" t="s">
        <v>207</v>
      </c>
      <c r="C146" t="s">
        <v>21</v>
      </c>
      <c r="D146" t="s">
        <v>11</v>
      </c>
      <c r="E146" s="1">
        <v>4.1666666666666664E-2</v>
      </c>
      <c r="F146">
        <v>75</v>
      </c>
      <c r="G146" t="s">
        <v>208</v>
      </c>
      <c r="H146" t="s">
        <v>206</v>
      </c>
      <c r="I146" t="s">
        <v>16</v>
      </c>
    </row>
    <row r="147" spans="1:9" x14ac:dyDescent="0.25">
      <c r="A147" s="2">
        <v>64</v>
      </c>
      <c r="B147" t="s">
        <v>209</v>
      </c>
      <c r="C147" t="s">
        <v>10</v>
      </c>
      <c r="D147" t="s">
        <v>11</v>
      </c>
      <c r="E147" s="1">
        <v>4.1666666666666699E-2</v>
      </c>
      <c r="F147">
        <v>65</v>
      </c>
      <c r="G147" t="s">
        <v>210</v>
      </c>
      <c r="H147" t="s">
        <v>206</v>
      </c>
      <c r="I147" t="s">
        <v>16</v>
      </c>
    </row>
    <row r="148" spans="1:9" x14ac:dyDescent="0.25">
      <c r="A148" s="2">
        <v>64</v>
      </c>
      <c r="B148" t="s">
        <v>209</v>
      </c>
      <c r="C148" t="s">
        <v>18</v>
      </c>
      <c r="D148" t="s">
        <v>11</v>
      </c>
      <c r="E148" s="1">
        <v>4.1666666666666699E-2</v>
      </c>
      <c r="F148">
        <v>65</v>
      </c>
      <c r="G148" t="s">
        <v>210</v>
      </c>
      <c r="H148" t="s">
        <v>206</v>
      </c>
      <c r="I148" t="s">
        <v>16</v>
      </c>
    </row>
    <row r="149" spans="1:9" x14ac:dyDescent="0.25">
      <c r="A149" s="2">
        <v>64</v>
      </c>
      <c r="B149" t="s">
        <v>209</v>
      </c>
      <c r="C149" t="s">
        <v>22</v>
      </c>
      <c r="D149" t="s">
        <v>11</v>
      </c>
      <c r="E149" s="1">
        <v>4.1666666666666699E-2</v>
      </c>
      <c r="F149">
        <v>65</v>
      </c>
      <c r="G149" t="s">
        <v>210</v>
      </c>
      <c r="H149" t="s">
        <v>206</v>
      </c>
      <c r="I149" t="s">
        <v>16</v>
      </c>
    </row>
    <row r="150" spans="1:9" x14ac:dyDescent="0.25">
      <c r="A150" s="2">
        <v>64</v>
      </c>
      <c r="B150" t="s">
        <v>209</v>
      </c>
      <c r="C150" t="s">
        <v>21</v>
      </c>
      <c r="D150" t="s">
        <v>11</v>
      </c>
      <c r="E150" s="1">
        <v>4.1666666666666699E-2</v>
      </c>
      <c r="F150">
        <v>65</v>
      </c>
      <c r="G150" t="s">
        <v>210</v>
      </c>
      <c r="H150" t="s">
        <v>206</v>
      </c>
      <c r="I150" t="s">
        <v>16</v>
      </c>
    </row>
    <row r="151" spans="1:9" x14ac:dyDescent="0.25">
      <c r="A151" s="2">
        <v>65</v>
      </c>
      <c r="B151" t="s">
        <v>211</v>
      </c>
      <c r="C151" t="s">
        <v>10</v>
      </c>
      <c r="D151" t="s">
        <v>11</v>
      </c>
      <c r="E151" s="1">
        <v>6.25E-2</v>
      </c>
      <c r="F151">
        <v>75</v>
      </c>
      <c r="G151" t="s">
        <v>212</v>
      </c>
      <c r="H151" t="s">
        <v>213</v>
      </c>
      <c r="I151" t="s">
        <v>14</v>
      </c>
    </row>
    <row r="152" spans="1:9" x14ac:dyDescent="0.25">
      <c r="A152" s="2">
        <v>65</v>
      </c>
      <c r="B152" t="s">
        <v>211</v>
      </c>
      <c r="C152" t="s">
        <v>18</v>
      </c>
      <c r="D152" t="s">
        <v>11</v>
      </c>
      <c r="E152" s="1">
        <v>6.25E-2</v>
      </c>
      <c r="F152">
        <v>75</v>
      </c>
      <c r="G152" t="s">
        <v>212</v>
      </c>
      <c r="H152" t="s">
        <v>213</v>
      </c>
      <c r="I152" t="s">
        <v>14</v>
      </c>
    </row>
    <row r="153" spans="1:9" x14ac:dyDescent="0.25">
      <c r="A153" s="2">
        <v>65</v>
      </c>
      <c r="B153" t="s">
        <v>211</v>
      </c>
      <c r="C153" t="s">
        <v>22</v>
      </c>
      <c r="D153" t="s">
        <v>11</v>
      </c>
      <c r="E153" s="1">
        <v>6.25E-2</v>
      </c>
      <c r="F153">
        <v>75</v>
      </c>
      <c r="G153" t="s">
        <v>212</v>
      </c>
      <c r="H153" t="s">
        <v>213</v>
      </c>
      <c r="I153" t="s">
        <v>14</v>
      </c>
    </row>
    <row r="154" spans="1:9" x14ac:dyDescent="0.25">
      <c r="A154" s="2">
        <v>65</v>
      </c>
      <c r="B154" t="s">
        <v>211</v>
      </c>
      <c r="C154" t="s">
        <v>21</v>
      </c>
      <c r="D154" t="s">
        <v>11</v>
      </c>
      <c r="E154" s="1">
        <v>6.25E-2</v>
      </c>
      <c r="F154">
        <v>75</v>
      </c>
      <c r="G154" t="s">
        <v>212</v>
      </c>
      <c r="H154" t="s">
        <v>213</v>
      </c>
      <c r="I154" t="s">
        <v>14</v>
      </c>
    </row>
    <row r="155" spans="1:9" x14ac:dyDescent="0.25">
      <c r="A155" s="2">
        <v>66</v>
      </c>
      <c r="B155" t="s">
        <v>214</v>
      </c>
      <c r="C155" t="s">
        <v>18</v>
      </c>
      <c r="D155" t="s">
        <v>11</v>
      </c>
      <c r="E155" s="1">
        <v>6.25E-2</v>
      </c>
      <c r="F155">
        <v>130</v>
      </c>
      <c r="G155" t="s">
        <v>215</v>
      </c>
      <c r="H155" t="s">
        <v>216</v>
      </c>
      <c r="I155" t="s">
        <v>14</v>
      </c>
    </row>
    <row r="156" spans="1:9" x14ac:dyDescent="0.25">
      <c r="A156" s="2">
        <v>66</v>
      </c>
      <c r="B156" t="s">
        <v>214</v>
      </c>
      <c r="C156" t="s">
        <v>21</v>
      </c>
      <c r="D156" t="s">
        <v>11</v>
      </c>
      <c r="E156" s="1">
        <v>6.25E-2</v>
      </c>
      <c r="F156">
        <v>130</v>
      </c>
      <c r="G156" t="s">
        <v>215</v>
      </c>
      <c r="H156" t="s">
        <v>216</v>
      </c>
      <c r="I156" t="s">
        <v>14</v>
      </c>
    </row>
    <row r="157" spans="1:9" x14ac:dyDescent="0.25">
      <c r="A157" s="2">
        <v>66</v>
      </c>
      <c r="B157" t="s">
        <v>214</v>
      </c>
      <c r="C157" t="s">
        <v>22</v>
      </c>
      <c r="D157" t="s">
        <v>11</v>
      </c>
      <c r="E157" s="1">
        <v>6.25E-2</v>
      </c>
      <c r="F157">
        <v>130</v>
      </c>
      <c r="G157" t="s">
        <v>215</v>
      </c>
      <c r="H157" t="s">
        <v>216</v>
      </c>
      <c r="I157" t="s">
        <v>14</v>
      </c>
    </row>
    <row r="158" spans="1:9" x14ac:dyDescent="0.25">
      <c r="A158" s="2">
        <v>67</v>
      </c>
      <c r="B158" t="s">
        <v>217</v>
      </c>
      <c r="C158" t="s">
        <v>18</v>
      </c>
      <c r="D158" t="s">
        <v>11</v>
      </c>
      <c r="E158" s="1">
        <v>6.25E-2</v>
      </c>
      <c r="F158">
        <v>100</v>
      </c>
      <c r="G158" t="s">
        <v>218</v>
      </c>
      <c r="H158" t="s">
        <v>219</v>
      </c>
      <c r="I158" t="s">
        <v>14</v>
      </c>
    </row>
    <row r="159" spans="1:9" x14ac:dyDescent="0.25">
      <c r="A159" s="2">
        <v>67</v>
      </c>
      <c r="B159" t="s">
        <v>217</v>
      </c>
      <c r="C159" t="s">
        <v>21</v>
      </c>
      <c r="D159" t="s">
        <v>11</v>
      </c>
      <c r="E159" s="1">
        <v>6.25E-2</v>
      </c>
      <c r="F159">
        <v>100</v>
      </c>
      <c r="G159" t="s">
        <v>218</v>
      </c>
      <c r="H159" t="s">
        <v>219</v>
      </c>
      <c r="I159" t="s">
        <v>14</v>
      </c>
    </row>
    <row r="160" spans="1:9" x14ac:dyDescent="0.25">
      <c r="A160" s="2">
        <v>67</v>
      </c>
      <c r="B160" t="s">
        <v>217</v>
      </c>
      <c r="C160" t="s">
        <v>22</v>
      </c>
      <c r="D160" t="s">
        <v>11</v>
      </c>
      <c r="E160" s="1">
        <v>6.25E-2</v>
      </c>
      <c r="F160">
        <v>100</v>
      </c>
      <c r="G160" t="s">
        <v>218</v>
      </c>
      <c r="H160" t="s">
        <v>219</v>
      </c>
      <c r="I160" t="s">
        <v>14</v>
      </c>
    </row>
    <row r="161" spans="1:9" x14ac:dyDescent="0.25">
      <c r="A161" s="2">
        <v>68</v>
      </c>
      <c r="B161" t="s">
        <v>220</v>
      </c>
      <c r="C161" t="s">
        <v>18</v>
      </c>
      <c r="D161" t="s">
        <v>198</v>
      </c>
      <c r="E161" s="1">
        <v>4.1666666666666664E-2</v>
      </c>
      <c r="F161">
        <v>70</v>
      </c>
      <c r="G161" t="s">
        <v>221</v>
      </c>
      <c r="H161" t="s">
        <v>200</v>
      </c>
      <c r="I161" t="s">
        <v>16</v>
      </c>
    </row>
    <row r="162" spans="1:9" x14ac:dyDescent="0.25">
      <c r="A162" s="2">
        <v>68</v>
      </c>
      <c r="B162" t="s">
        <v>220</v>
      </c>
      <c r="C162" t="s">
        <v>21</v>
      </c>
      <c r="D162" t="s">
        <v>198</v>
      </c>
      <c r="E162" s="1">
        <v>4.1666666666666664E-2</v>
      </c>
      <c r="F162">
        <v>70</v>
      </c>
      <c r="G162" t="s">
        <v>221</v>
      </c>
      <c r="H162" t="s">
        <v>200</v>
      </c>
      <c r="I162" t="s">
        <v>16</v>
      </c>
    </row>
    <row r="163" spans="1:9" x14ac:dyDescent="0.25">
      <c r="A163" s="2">
        <v>68</v>
      </c>
      <c r="B163" t="s">
        <v>220</v>
      </c>
      <c r="C163" t="s">
        <v>22</v>
      </c>
      <c r="D163" t="s">
        <v>198</v>
      </c>
      <c r="E163" s="1">
        <v>4.1666666666666664E-2</v>
      </c>
      <c r="F163">
        <v>70</v>
      </c>
      <c r="G163" t="s">
        <v>221</v>
      </c>
      <c r="H163" t="s">
        <v>200</v>
      </c>
      <c r="I163" t="s">
        <v>16</v>
      </c>
    </row>
    <row r="164" spans="1:9" x14ac:dyDescent="0.25">
      <c r="A164" s="2">
        <v>68</v>
      </c>
      <c r="B164" t="s">
        <v>220</v>
      </c>
      <c r="C164" t="s">
        <v>10</v>
      </c>
      <c r="D164" t="s">
        <v>198</v>
      </c>
      <c r="E164" s="1">
        <v>4.1666666666666664E-2</v>
      </c>
      <c r="F164">
        <v>70</v>
      </c>
      <c r="G164" t="s">
        <v>221</v>
      </c>
      <c r="H164" t="s">
        <v>200</v>
      </c>
      <c r="I164" t="s">
        <v>16</v>
      </c>
    </row>
    <row r="165" spans="1:9" x14ac:dyDescent="0.25">
      <c r="A165" s="2">
        <v>69</v>
      </c>
      <c r="B165" t="s">
        <v>222</v>
      </c>
      <c r="C165" t="s">
        <v>18</v>
      </c>
      <c r="D165" t="s">
        <v>11</v>
      </c>
      <c r="E165" s="1">
        <v>6.25E-2</v>
      </c>
      <c r="F165">
        <v>120</v>
      </c>
      <c r="G165" t="s">
        <v>223</v>
      </c>
      <c r="H165" t="s">
        <v>224</v>
      </c>
      <c r="I165" t="s">
        <v>14</v>
      </c>
    </row>
    <row r="166" spans="1:9" x14ac:dyDescent="0.25">
      <c r="A166" s="2">
        <v>69</v>
      </c>
      <c r="B166" t="s">
        <v>222</v>
      </c>
      <c r="C166" t="s">
        <v>21</v>
      </c>
      <c r="D166" t="s">
        <v>11</v>
      </c>
      <c r="E166" s="1">
        <v>6.25E-2</v>
      </c>
      <c r="F166">
        <v>120</v>
      </c>
      <c r="G166" t="s">
        <v>223</v>
      </c>
      <c r="H166" t="s">
        <v>224</v>
      </c>
      <c r="I166" t="s">
        <v>14</v>
      </c>
    </row>
    <row r="167" spans="1:9" x14ac:dyDescent="0.25">
      <c r="A167" s="2">
        <v>69</v>
      </c>
      <c r="B167" t="s">
        <v>222</v>
      </c>
      <c r="C167" t="s">
        <v>22</v>
      </c>
      <c r="D167" t="s">
        <v>11</v>
      </c>
      <c r="E167" s="1">
        <v>6.25E-2</v>
      </c>
      <c r="F167">
        <v>120</v>
      </c>
      <c r="G167" t="s">
        <v>223</v>
      </c>
      <c r="H167" t="s">
        <v>224</v>
      </c>
      <c r="I167" t="s">
        <v>14</v>
      </c>
    </row>
    <row r="168" spans="1:9" x14ac:dyDescent="0.25">
      <c r="A168" s="2">
        <v>69</v>
      </c>
      <c r="B168" t="s">
        <v>222</v>
      </c>
      <c r="C168" t="s">
        <v>10</v>
      </c>
      <c r="D168" t="s">
        <v>11</v>
      </c>
      <c r="E168" s="1">
        <v>6.25E-2</v>
      </c>
      <c r="F168">
        <v>120</v>
      </c>
      <c r="G168" t="s">
        <v>223</v>
      </c>
      <c r="H168" t="s">
        <v>224</v>
      </c>
      <c r="I168" t="s">
        <v>14</v>
      </c>
    </row>
    <row r="169" spans="1:9" x14ac:dyDescent="0.25">
      <c r="A169" s="2">
        <v>70</v>
      </c>
      <c r="B169" t="s">
        <v>225</v>
      </c>
      <c r="C169" t="s">
        <v>10</v>
      </c>
      <c r="D169" t="s">
        <v>34</v>
      </c>
      <c r="E169" s="1">
        <v>6.25E-2</v>
      </c>
      <c r="F169">
        <v>190</v>
      </c>
      <c r="G169" t="s">
        <v>226</v>
      </c>
      <c r="H169" t="s">
        <v>227</v>
      </c>
      <c r="I169" t="s">
        <v>14</v>
      </c>
    </row>
    <row r="170" spans="1:9" x14ac:dyDescent="0.25">
      <c r="A170" s="2">
        <v>70</v>
      </c>
      <c r="B170" t="s">
        <v>225</v>
      </c>
      <c r="C170" t="s">
        <v>18</v>
      </c>
      <c r="D170" t="s">
        <v>34</v>
      </c>
      <c r="E170" s="1">
        <v>6.25E-2</v>
      </c>
      <c r="F170">
        <v>190</v>
      </c>
      <c r="G170" t="s">
        <v>226</v>
      </c>
      <c r="H170" t="s">
        <v>227</v>
      </c>
      <c r="I170" t="s">
        <v>14</v>
      </c>
    </row>
    <row r="171" spans="1:9" x14ac:dyDescent="0.25">
      <c r="A171" s="2">
        <v>71</v>
      </c>
      <c r="B171" t="s">
        <v>228</v>
      </c>
      <c r="C171" t="s">
        <v>10</v>
      </c>
      <c r="D171" t="s">
        <v>34</v>
      </c>
      <c r="E171" s="1">
        <v>6.25E-2</v>
      </c>
      <c r="F171">
        <v>180</v>
      </c>
      <c r="G171" t="s">
        <v>229</v>
      </c>
      <c r="H171" t="s">
        <v>230</v>
      </c>
      <c r="I171" t="s">
        <v>14</v>
      </c>
    </row>
    <row r="172" spans="1:9" x14ac:dyDescent="0.25">
      <c r="A172" s="2">
        <v>71</v>
      </c>
      <c r="B172" t="s">
        <v>228</v>
      </c>
      <c r="C172" t="s">
        <v>18</v>
      </c>
      <c r="D172" t="s">
        <v>34</v>
      </c>
      <c r="E172" s="1">
        <v>6.25E-2</v>
      </c>
      <c r="F172">
        <v>180</v>
      </c>
      <c r="G172" t="s">
        <v>229</v>
      </c>
      <c r="H172" t="s">
        <v>230</v>
      </c>
      <c r="I172" t="s">
        <v>14</v>
      </c>
    </row>
    <row r="173" spans="1:9" x14ac:dyDescent="0.25">
      <c r="A173" s="2">
        <v>71</v>
      </c>
      <c r="B173" t="s">
        <v>228</v>
      </c>
      <c r="C173" t="s">
        <v>21</v>
      </c>
      <c r="D173" t="s">
        <v>34</v>
      </c>
      <c r="E173" s="1">
        <v>6.25E-2</v>
      </c>
      <c r="F173">
        <v>180</v>
      </c>
      <c r="G173" t="s">
        <v>229</v>
      </c>
      <c r="H173" t="s">
        <v>230</v>
      </c>
      <c r="I173" t="s">
        <v>14</v>
      </c>
    </row>
    <row r="174" spans="1:9" x14ac:dyDescent="0.25">
      <c r="A174" s="2">
        <v>72</v>
      </c>
      <c r="B174" t="s">
        <v>231</v>
      </c>
      <c r="C174" t="s">
        <v>10</v>
      </c>
      <c r="D174" t="s">
        <v>11</v>
      </c>
      <c r="E174" s="1">
        <v>6.25E-2</v>
      </c>
      <c r="F174">
        <v>100</v>
      </c>
      <c r="G174" t="s">
        <v>232</v>
      </c>
      <c r="H174" t="s">
        <v>233</v>
      </c>
      <c r="I174" t="s">
        <v>14</v>
      </c>
    </row>
    <row r="175" spans="1:9" x14ac:dyDescent="0.25">
      <c r="A175" s="2">
        <v>72</v>
      </c>
      <c r="B175" t="s">
        <v>231</v>
      </c>
      <c r="C175" t="s">
        <v>18</v>
      </c>
      <c r="D175" t="s">
        <v>11</v>
      </c>
      <c r="E175" s="1">
        <v>6.25E-2</v>
      </c>
      <c r="F175">
        <v>100</v>
      </c>
      <c r="G175" t="s">
        <v>232</v>
      </c>
      <c r="H175" t="s">
        <v>233</v>
      </c>
      <c r="I175" t="s">
        <v>14</v>
      </c>
    </row>
    <row r="176" spans="1:9" x14ac:dyDescent="0.25">
      <c r="A176" s="2">
        <v>73</v>
      </c>
      <c r="B176" t="s">
        <v>234</v>
      </c>
      <c r="C176" t="s">
        <v>10</v>
      </c>
      <c r="D176" t="s">
        <v>11</v>
      </c>
      <c r="E176" s="1">
        <v>6.25E-2</v>
      </c>
      <c r="F176">
        <v>80</v>
      </c>
      <c r="G176" t="s">
        <v>235</v>
      </c>
      <c r="H176" t="s">
        <v>236</v>
      </c>
      <c r="I176" t="s">
        <v>14</v>
      </c>
    </row>
    <row r="177" spans="1:9" x14ac:dyDescent="0.25">
      <c r="A177" s="2">
        <v>73</v>
      </c>
      <c r="B177" t="s">
        <v>234</v>
      </c>
      <c r="C177" t="s">
        <v>18</v>
      </c>
      <c r="D177" t="s">
        <v>11</v>
      </c>
      <c r="E177" s="1">
        <v>6.25E-2</v>
      </c>
      <c r="F177">
        <v>80</v>
      </c>
      <c r="G177" t="s">
        <v>235</v>
      </c>
      <c r="H177" t="s">
        <v>236</v>
      </c>
      <c r="I177" t="s">
        <v>14</v>
      </c>
    </row>
    <row r="178" spans="1:9" x14ac:dyDescent="0.25">
      <c r="A178" s="2">
        <v>74</v>
      </c>
      <c r="B178" t="s">
        <v>237</v>
      </c>
      <c r="C178" t="s">
        <v>10</v>
      </c>
      <c r="D178" t="s">
        <v>11</v>
      </c>
      <c r="E178" s="1">
        <v>6.25E-2</v>
      </c>
      <c r="F178">
        <v>140</v>
      </c>
      <c r="G178" t="s">
        <v>238</v>
      </c>
      <c r="H178" t="s">
        <v>239</v>
      </c>
      <c r="I178" t="s">
        <v>14</v>
      </c>
    </row>
    <row r="179" spans="1:9" x14ac:dyDescent="0.25">
      <c r="A179" s="2">
        <v>74</v>
      </c>
      <c r="B179" t="s">
        <v>237</v>
      </c>
      <c r="C179" t="s">
        <v>18</v>
      </c>
      <c r="D179" t="s">
        <v>11</v>
      </c>
      <c r="E179" s="1">
        <v>6.25E-2</v>
      </c>
      <c r="F179">
        <v>140</v>
      </c>
      <c r="G179" t="s">
        <v>238</v>
      </c>
      <c r="H179" t="s">
        <v>239</v>
      </c>
      <c r="I179" t="s">
        <v>14</v>
      </c>
    </row>
    <row r="180" spans="1:9" x14ac:dyDescent="0.25">
      <c r="A180" s="2">
        <v>75</v>
      </c>
      <c r="B180" t="s">
        <v>240</v>
      </c>
      <c r="C180" t="s">
        <v>10</v>
      </c>
      <c r="D180" t="s">
        <v>11</v>
      </c>
      <c r="E180" s="1">
        <v>6.25E-2</v>
      </c>
      <c r="F180">
        <v>90</v>
      </c>
      <c r="G180" t="s">
        <v>241</v>
      </c>
      <c r="H180" t="s">
        <v>242</v>
      </c>
      <c r="I180" t="s">
        <v>14</v>
      </c>
    </row>
    <row r="181" spans="1:9" x14ac:dyDescent="0.25">
      <c r="A181" s="2">
        <v>75</v>
      </c>
      <c r="B181" t="s">
        <v>240</v>
      </c>
      <c r="C181" t="s">
        <v>18</v>
      </c>
      <c r="D181" t="s">
        <v>11</v>
      </c>
      <c r="E181" s="1">
        <v>6.25E-2</v>
      </c>
      <c r="F181">
        <v>90</v>
      </c>
      <c r="G181" t="s">
        <v>241</v>
      </c>
      <c r="H181" t="s">
        <v>242</v>
      </c>
      <c r="I181" t="s">
        <v>14</v>
      </c>
    </row>
    <row r="182" spans="1:9" x14ac:dyDescent="0.25">
      <c r="A182" s="2">
        <v>76</v>
      </c>
      <c r="B182" t="s">
        <v>243</v>
      </c>
      <c r="C182" t="s">
        <v>10</v>
      </c>
      <c r="D182" t="s">
        <v>11</v>
      </c>
      <c r="E182" s="1">
        <v>6.25E-2</v>
      </c>
      <c r="F182">
        <v>130</v>
      </c>
      <c r="G182" t="s">
        <v>244</v>
      </c>
      <c r="H182" t="s">
        <v>245</v>
      </c>
      <c r="I182" t="s">
        <v>14</v>
      </c>
    </row>
    <row r="183" spans="1:9" x14ac:dyDescent="0.25">
      <c r="A183" s="2">
        <v>76</v>
      </c>
      <c r="B183" t="s">
        <v>243</v>
      </c>
      <c r="C183" t="s">
        <v>18</v>
      </c>
      <c r="D183" t="s">
        <v>11</v>
      </c>
      <c r="E183" s="1">
        <v>6.25E-2</v>
      </c>
      <c r="F183">
        <v>130</v>
      </c>
      <c r="G183" t="s">
        <v>244</v>
      </c>
      <c r="H183" t="s">
        <v>245</v>
      </c>
      <c r="I183" t="s">
        <v>14</v>
      </c>
    </row>
    <row r="184" spans="1:9" x14ac:dyDescent="0.25">
      <c r="A184" s="2">
        <v>76</v>
      </c>
      <c r="B184" t="s">
        <v>243</v>
      </c>
      <c r="C184" t="s">
        <v>22</v>
      </c>
      <c r="D184" t="s">
        <v>11</v>
      </c>
      <c r="E184" s="1">
        <v>6.25E-2</v>
      </c>
      <c r="F184">
        <v>130</v>
      </c>
      <c r="G184" t="s">
        <v>244</v>
      </c>
      <c r="H184" t="s">
        <v>245</v>
      </c>
      <c r="I184" t="s">
        <v>14</v>
      </c>
    </row>
    <row r="185" spans="1:9" ht="135" x14ac:dyDescent="0.25">
      <c r="A185" s="2">
        <v>77</v>
      </c>
      <c r="B185" t="s">
        <v>246</v>
      </c>
      <c r="C185" t="s">
        <v>10</v>
      </c>
      <c r="D185" t="s">
        <v>34</v>
      </c>
      <c r="E185" s="1">
        <v>8.3333333333333329E-2</v>
      </c>
      <c r="F185">
        <v>290</v>
      </c>
      <c r="G185" s="6" t="s">
        <v>247</v>
      </c>
      <c r="H185" t="s">
        <v>248</v>
      </c>
      <c r="I185" t="s">
        <v>26</v>
      </c>
    </row>
    <row r="186" spans="1:9" ht="135" x14ac:dyDescent="0.25">
      <c r="A186" s="2">
        <v>77</v>
      </c>
      <c r="B186" t="s">
        <v>246</v>
      </c>
      <c r="C186" t="s">
        <v>18</v>
      </c>
      <c r="D186" t="s">
        <v>34</v>
      </c>
      <c r="E186" s="1">
        <v>8.3333333333333329E-2</v>
      </c>
      <c r="F186">
        <v>290</v>
      </c>
      <c r="G186" s="6" t="s">
        <v>247</v>
      </c>
      <c r="H186" t="s">
        <v>248</v>
      </c>
      <c r="I186" t="s">
        <v>26</v>
      </c>
    </row>
    <row r="187" spans="1:9" x14ac:dyDescent="0.25">
      <c r="A187" s="2">
        <v>78</v>
      </c>
      <c r="B187" t="s">
        <v>249</v>
      </c>
      <c r="C187" t="s">
        <v>10</v>
      </c>
      <c r="D187" t="s">
        <v>11</v>
      </c>
      <c r="E187" s="1">
        <v>6.25E-2</v>
      </c>
      <c r="F187">
        <v>95</v>
      </c>
      <c r="G187" t="s">
        <v>250</v>
      </c>
      <c r="H187" t="s">
        <v>251</v>
      </c>
      <c r="I187" t="s">
        <v>14</v>
      </c>
    </row>
    <row r="188" spans="1:9" x14ac:dyDescent="0.25">
      <c r="A188" s="2">
        <v>78</v>
      </c>
      <c r="B188" t="s">
        <v>249</v>
      </c>
      <c r="C188" t="s">
        <v>18</v>
      </c>
      <c r="D188" t="s">
        <v>11</v>
      </c>
      <c r="E188" s="1">
        <v>6.25E-2</v>
      </c>
      <c r="F188">
        <v>95</v>
      </c>
      <c r="G188" t="s">
        <v>250</v>
      </c>
      <c r="H188" t="s">
        <v>251</v>
      </c>
      <c r="I188" t="s">
        <v>14</v>
      </c>
    </row>
    <row r="189" spans="1:9" x14ac:dyDescent="0.25">
      <c r="A189" s="2">
        <v>79</v>
      </c>
      <c r="B189" t="s">
        <v>252</v>
      </c>
      <c r="C189" t="s">
        <v>10</v>
      </c>
      <c r="D189" t="s">
        <v>11</v>
      </c>
      <c r="E189" s="1">
        <v>6.25E-2</v>
      </c>
      <c r="F189">
        <v>105</v>
      </c>
      <c r="G189" t="s">
        <v>253</v>
      </c>
      <c r="H189" t="s">
        <v>254</v>
      </c>
      <c r="I189" t="s">
        <v>14</v>
      </c>
    </row>
    <row r="190" spans="1:9" x14ac:dyDescent="0.25">
      <c r="A190" s="2">
        <v>79</v>
      </c>
      <c r="B190" t="s">
        <v>252</v>
      </c>
      <c r="C190" t="s">
        <v>18</v>
      </c>
      <c r="D190" t="s">
        <v>11</v>
      </c>
      <c r="E190" s="1">
        <v>6.25E-2</v>
      </c>
      <c r="F190">
        <v>105</v>
      </c>
      <c r="G190" t="s">
        <v>253</v>
      </c>
      <c r="H190" t="s">
        <v>254</v>
      </c>
      <c r="I190" t="s">
        <v>14</v>
      </c>
    </row>
    <row r="191" spans="1:9" x14ac:dyDescent="0.25">
      <c r="A191" s="2">
        <v>80</v>
      </c>
      <c r="B191" t="s">
        <v>255</v>
      </c>
      <c r="C191" t="s">
        <v>10</v>
      </c>
      <c r="D191" t="s">
        <v>11</v>
      </c>
      <c r="E191" s="1">
        <v>6.25E-2</v>
      </c>
      <c r="F191">
        <v>105</v>
      </c>
      <c r="G191" t="s">
        <v>256</v>
      </c>
      <c r="H191" t="s">
        <v>257</v>
      </c>
      <c r="I191" t="s">
        <v>14</v>
      </c>
    </row>
    <row r="192" spans="1:9" x14ac:dyDescent="0.25">
      <c r="A192" s="2">
        <v>80</v>
      </c>
      <c r="B192" t="s">
        <v>255</v>
      </c>
      <c r="C192" t="s">
        <v>18</v>
      </c>
      <c r="D192" t="s">
        <v>11</v>
      </c>
      <c r="E192" s="1">
        <v>6.25E-2</v>
      </c>
      <c r="F192">
        <v>105</v>
      </c>
      <c r="G192" t="s">
        <v>256</v>
      </c>
      <c r="H192" t="s">
        <v>257</v>
      </c>
      <c r="I192" t="s">
        <v>14</v>
      </c>
    </row>
    <row r="193" spans="1:9" x14ac:dyDescent="0.25">
      <c r="A193" s="2">
        <v>81</v>
      </c>
      <c r="B193" t="s">
        <v>258</v>
      </c>
      <c r="C193" t="s">
        <v>10</v>
      </c>
      <c r="D193" t="s">
        <v>34</v>
      </c>
      <c r="E193" s="1">
        <v>6.25E-2</v>
      </c>
      <c r="F193">
        <v>80</v>
      </c>
      <c r="G193" t="s">
        <v>259</v>
      </c>
      <c r="H193" t="s">
        <v>260</v>
      </c>
      <c r="I193" t="s">
        <v>14</v>
      </c>
    </row>
    <row r="194" spans="1:9" x14ac:dyDescent="0.25">
      <c r="A194" s="2">
        <v>81</v>
      </c>
      <c r="B194" t="s">
        <v>258</v>
      </c>
      <c r="C194" t="s">
        <v>18</v>
      </c>
      <c r="D194" t="s">
        <v>34</v>
      </c>
      <c r="E194" s="1">
        <v>6.25E-2</v>
      </c>
      <c r="F194">
        <v>80</v>
      </c>
      <c r="G194" t="s">
        <v>259</v>
      </c>
      <c r="H194" t="s">
        <v>260</v>
      </c>
      <c r="I194" t="s">
        <v>14</v>
      </c>
    </row>
    <row r="195" spans="1:9" x14ac:dyDescent="0.25">
      <c r="A195" s="2">
        <v>82</v>
      </c>
      <c r="B195" t="s">
        <v>261</v>
      </c>
      <c r="C195" t="s">
        <v>10</v>
      </c>
      <c r="D195" t="s">
        <v>11</v>
      </c>
      <c r="E195" s="1">
        <v>6.25E-2</v>
      </c>
      <c r="F195">
        <v>80</v>
      </c>
      <c r="G195" t="s">
        <v>262</v>
      </c>
      <c r="H195" t="s">
        <v>263</v>
      </c>
      <c r="I195" t="s">
        <v>14</v>
      </c>
    </row>
    <row r="196" spans="1:9" ht="105" x14ac:dyDescent="0.25">
      <c r="A196" s="2">
        <v>83</v>
      </c>
      <c r="B196" t="s">
        <v>264</v>
      </c>
      <c r="C196" t="s">
        <v>10</v>
      </c>
      <c r="D196" t="s">
        <v>11</v>
      </c>
      <c r="E196" s="1">
        <v>6.25E-2</v>
      </c>
      <c r="F196">
        <v>120</v>
      </c>
      <c r="G196" s="6" t="s">
        <v>265</v>
      </c>
      <c r="H196" t="s">
        <v>266</v>
      </c>
      <c r="I196" t="s">
        <v>14</v>
      </c>
    </row>
    <row r="197" spans="1:9" x14ac:dyDescent="0.25">
      <c r="A197" s="2">
        <v>84</v>
      </c>
      <c r="B197" t="s">
        <v>267</v>
      </c>
      <c r="C197" t="s">
        <v>10</v>
      </c>
      <c r="D197" t="s">
        <v>34</v>
      </c>
      <c r="E197" s="1">
        <v>8.3333333333333329E-2</v>
      </c>
      <c r="F197">
        <v>699</v>
      </c>
      <c r="G197" t="s">
        <v>268</v>
      </c>
      <c r="H197" t="s">
        <v>269</v>
      </c>
      <c r="I197" t="s">
        <v>26</v>
      </c>
    </row>
    <row r="198" spans="1:9" x14ac:dyDescent="0.25">
      <c r="A198" s="2">
        <v>84</v>
      </c>
      <c r="B198" t="s">
        <v>267</v>
      </c>
      <c r="C198" t="s">
        <v>18</v>
      </c>
      <c r="D198" t="s">
        <v>34</v>
      </c>
      <c r="E198" s="1">
        <v>8.3333333333333329E-2</v>
      </c>
      <c r="F198">
        <v>699</v>
      </c>
      <c r="G198" t="s">
        <v>268</v>
      </c>
      <c r="H198" t="s">
        <v>269</v>
      </c>
      <c r="I198" t="s">
        <v>26</v>
      </c>
    </row>
    <row r="199" spans="1:9" x14ac:dyDescent="0.25">
      <c r="A199" s="2">
        <v>85</v>
      </c>
      <c r="B199" t="s">
        <v>270</v>
      </c>
      <c r="C199" t="s">
        <v>10</v>
      </c>
      <c r="D199" t="s">
        <v>34</v>
      </c>
      <c r="E199" s="1">
        <v>6.25E-2</v>
      </c>
      <c r="F199">
        <v>280</v>
      </c>
      <c r="G199" t="s">
        <v>271</v>
      </c>
      <c r="H199" t="s">
        <v>272</v>
      </c>
      <c r="I199" t="s">
        <v>14</v>
      </c>
    </row>
    <row r="200" spans="1:9" x14ac:dyDescent="0.25">
      <c r="A200" s="2">
        <v>85</v>
      </c>
      <c r="B200" t="s">
        <v>270</v>
      </c>
      <c r="C200" t="s">
        <v>18</v>
      </c>
      <c r="D200" t="s">
        <v>34</v>
      </c>
      <c r="E200" s="1">
        <v>6.25E-2</v>
      </c>
      <c r="F200">
        <v>280</v>
      </c>
      <c r="G200" t="s">
        <v>271</v>
      </c>
      <c r="H200" t="s">
        <v>272</v>
      </c>
      <c r="I200" t="s">
        <v>14</v>
      </c>
    </row>
    <row r="201" spans="1:9" x14ac:dyDescent="0.25">
      <c r="A201" s="2">
        <v>86</v>
      </c>
      <c r="B201" t="s">
        <v>273</v>
      </c>
      <c r="C201" t="s">
        <v>10</v>
      </c>
      <c r="D201" t="s">
        <v>11</v>
      </c>
      <c r="E201" s="1">
        <v>3.4722222222222224E-2</v>
      </c>
      <c r="F201">
        <v>220</v>
      </c>
      <c r="G201" t="s">
        <v>274</v>
      </c>
      <c r="H201" t="s">
        <v>275</v>
      </c>
      <c r="I201" t="s">
        <v>16</v>
      </c>
    </row>
    <row r="202" spans="1:9" x14ac:dyDescent="0.25">
      <c r="A202" s="2">
        <v>86</v>
      </c>
      <c r="B202" t="s">
        <v>273</v>
      </c>
      <c r="C202" t="s">
        <v>18</v>
      </c>
      <c r="D202" t="s">
        <v>11</v>
      </c>
      <c r="E202" s="1">
        <v>3.4722222222222224E-2</v>
      </c>
      <c r="F202">
        <v>220</v>
      </c>
      <c r="G202" t="s">
        <v>274</v>
      </c>
      <c r="H202" t="s">
        <v>275</v>
      </c>
      <c r="I202" t="s">
        <v>16</v>
      </c>
    </row>
    <row r="203" spans="1:9" x14ac:dyDescent="0.25">
      <c r="A203" s="2">
        <v>87</v>
      </c>
      <c r="B203" t="s">
        <v>276</v>
      </c>
      <c r="C203" t="s">
        <v>18</v>
      </c>
      <c r="D203" t="s">
        <v>34</v>
      </c>
      <c r="E203" s="1">
        <v>6.25E-2</v>
      </c>
      <c r="F203">
        <v>170</v>
      </c>
      <c r="G203" t="s">
        <v>277</v>
      </c>
      <c r="H203" t="s">
        <v>278</v>
      </c>
      <c r="I203" t="s">
        <v>14</v>
      </c>
    </row>
    <row r="204" spans="1:9" x14ac:dyDescent="0.25">
      <c r="A204" s="2">
        <v>87</v>
      </c>
      <c r="B204" t="s">
        <v>276</v>
      </c>
      <c r="C204" t="s">
        <v>22</v>
      </c>
      <c r="D204" t="s">
        <v>34</v>
      </c>
      <c r="E204" s="1">
        <v>6.25E-2</v>
      </c>
      <c r="F204">
        <v>170</v>
      </c>
      <c r="G204" t="s">
        <v>277</v>
      </c>
      <c r="H204" t="s">
        <v>278</v>
      </c>
      <c r="I204" t="s">
        <v>14</v>
      </c>
    </row>
    <row r="205" spans="1:9" x14ac:dyDescent="0.25">
      <c r="A205" s="2">
        <v>87</v>
      </c>
      <c r="B205" t="s">
        <v>276</v>
      </c>
      <c r="C205" t="s">
        <v>10</v>
      </c>
      <c r="D205" t="s">
        <v>34</v>
      </c>
      <c r="E205" s="1">
        <v>6.25E-2</v>
      </c>
      <c r="F205">
        <v>170</v>
      </c>
      <c r="G205" t="s">
        <v>277</v>
      </c>
      <c r="H205" t="s">
        <v>278</v>
      </c>
      <c r="I205" t="s">
        <v>14</v>
      </c>
    </row>
    <row r="206" spans="1:9" x14ac:dyDescent="0.25">
      <c r="A206" s="2">
        <v>88</v>
      </c>
      <c r="B206" t="s">
        <v>279</v>
      </c>
      <c r="C206" t="s">
        <v>10</v>
      </c>
      <c r="D206" t="s">
        <v>34</v>
      </c>
      <c r="E206" s="1">
        <v>6.25E-2</v>
      </c>
      <c r="F206">
        <v>110</v>
      </c>
      <c r="G206" t="s">
        <v>280</v>
      </c>
      <c r="H206" t="s">
        <v>281</v>
      </c>
      <c r="I206" t="s">
        <v>14</v>
      </c>
    </row>
    <row r="207" spans="1:9" x14ac:dyDescent="0.25">
      <c r="A207" s="2">
        <v>88</v>
      </c>
      <c r="B207" t="s">
        <v>279</v>
      </c>
      <c r="C207" t="s">
        <v>18</v>
      </c>
      <c r="D207" t="s">
        <v>34</v>
      </c>
      <c r="E207" s="1">
        <v>6.25E-2</v>
      </c>
      <c r="F207">
        <v>110</v>
      </c>
      <c r="G207" t="s">
        <v>280</v>
      </c>
      <c r="H207" t="s">
        <v>281</v>
      </c>
      <c r="I207" t="s">
        <v>14</v>
      </c>
    </row>
    <row r="208" spans="1:9" x14ac:dyDescent="0.25">
      <c r="A208" s="2">
        <v>89</v>
      </c>
      <c r="B208" t="s">
        <v>282</v>
      </c>
      <c r="C208" t="s">
        <v>10</v>
      </c>
      <c r="D208" t="s">
        <v>34</v>
      </c>
      <c r="E208" s="1">
        <v>6.25E-2</v>
      </c>
      <c r="F208">
        <v>120</v>
      </c>
      <c r="G208" t="s">
        <v>283</v>
      </c>
      <c r="H208" t="s">
        <v>284</v>
      </c>
      <c r="I208" t="s">
        <v>14</v>
      </c>
    </row>
    <row r="209" spans="1:9" x14ac:dyDescent="0.25">
      <c r="A209" s="2">
        <v>89</v>
      </c>
      <c r="B209" t="s">
        <v>282</v>
      </c>
      <c r="C209" t="s">
        <v>18</v>
      </c>
      <c r="D209" t="s">
        <v>34</v>
      </c>
      <c r="E209" s="1">
        <v>6.25E-2</v>
      </c>
      <c r="F209">
        <v>120</v>
      </c>
      <c r="G209" t="s">
        <v>283</v>
      </c>
      <c r="H209" t="s">
        <v>284</v>
      </c>
      <c r="I209" t="s">
        <v>14</v>
      </c>
    </row>
    <row r="210" spans="1:9" x14ac:dyDescent="0.25">
      <c r="A210" s="2">
        <v>90</v>
      </c>
      <c r="B210" t="s">
        <v>285</v>
      </c>
      <c r="C210" t="s">
        <v>10</v>
      </c>
      <c r="D210" t="s">
        <v>34</v>
      </c>
      <c r="E210" s="1">
        <v>6.25E-2</v>
      </c>
      <c r="F210">
        <v>140</v>
      </c>
      <c r="G210" t="s">
        <v>286</v>
      </c>
      <c r="H210" t="s">
        <v>287</v>
      </c>
      <c r="I210" t="s">
        <v>14</v>
      </c>
    </row>
    <row r="211" spans="1:9" x14ac:dyDescent="0.25">
      <c r="A211" s="2">
        <v>90</v>
      </c>
      <c r="B211" t="s">
        <v>285</v>
      </c>
      <c r="C211" t="s">
        <v>18</v>
      </c>
      <c r="D211" t="s">
        <v>34</v>
      </c>
      <c r="E211" s="1">
        <v>6.25E-2</v>
      </c>
      <c r="F211">
        <v>140</v>
      </c>
      <c r="G211" t="s">
        <v>286</v>
      </c>
      <c r="H211" t="s">
        <v>287</v>
      </c>
      <c r="I211" t="s">
        <v>14</v>
      </c>
    </row>
    <row r="212" spans="1:9" x14ac:dyDescent="0.25">
      <c r="A212" s="2">
        <v>91</v>
      </c>
      <c r="B212" t="s">
        <v>288</v>
      </c>
      <c r="C212" t="s">
        <v>10</v>
      </c>
      <c r="D212" t="s">
        <v>11</v>
      </c>
      <c r="E212" s="1">
        <v>6.25E-2</v>
      </c>
      <c r="F212">
        <v>190</v>
      </c>
      <c r="G212" t="s">
        <v>289</v>
      </c>
      <c r="H212" t="s">
        <v>290</v>
      </c>
      <c r="I212" t="s">
        <v>14</v>
      </c>
    </row>
    <row r="213" spans="1:9" x14ac:dyDescent="0.25">
      <c r="A213" s="2">
        <v>91</v>
      </c>
      <c r="B213" t="s">
        <v>288</v>
      </c>
      <c r="C213" t="s">
        <v>18</v>
      </c>
      <c r="D213" t="s">
        <v>11</v>
      </c>
      <c r="E213" s="1">
        <v>6.25E-2</v>
      </c>
      <c r="F213">
        <v>190</v>
      </c>
      <c r="G213" t="s">
        <v>289</v>
      </c>
      <c r="H213" t="s">
        <v>290</v>
      </c>
      <c r="I213" t="s">
        <v>14</v>
      </c>
    </row>
    <row r="214" spans="1:9" x14ac:dyDescent="0.25">
      <c r="A214" s="2">
        <v>92</v>
      </c>
      <c r="B214" t="s">
        <v>291</v>
      </c>
      <c r="C214" t="s">
        <v>10</v>
      </c>
      <c r="D214" t="s">
        <v>34</v>
      </c>
      <c r="E214" s="1">
        <v>6.25E-2</v>
      </c>
      <c r="F214">
        <v>250</v>
      </c>
      <c r="G214" t="s">
        <v>292</v>
      </c>
      <c r="H214" t="s">
        <v>293</v>
      </c>
      <c r="I214" t="s">
        <v>14</v>
      </c>
    </row>
    <row r="215" spans="1:9" x14ac:dyDescent="0.25">
      <c r="A215" s="2">
        <v>92</v>
      </c>
      <c r="B215" t="s">
        <v>291</v>
      </c>
      <c r="C215" t="s">
        <v>18</v>
      </c>
      <c r="D215" t="s">
        <v>34</v>
      </c>
      <c r="E215" s="1">
        <v>6.25E-2</v>
      </c>
      <c r="F215">
        <v>250</v>
      </c>
      <c r="G215" t="s">
        <v>292</v>
      </c>
      <c r="H215" t="s">
        <v>293</v>
      </c>
      <c r="I215" t="s">
        <v>14</v>
      </c>
    </row>
    <row r="216" spans="1:9" x14ac:dyDescent="0.25">
      <c r="A216" s="2">
        <v>92</v>
      </c>
      <c r="B216" t="s">
        <v>291</v>
      </c>
      <c r="C216" t="s">
        <v>22</v>
      </c>
      <c r="D216" t="s">
        <v>34</v>
      </c>
      <c r="E216" s="1">
        <v>6.25E-2</v>
      </c>
      <c r="F216">
        <v>250</v>
      </c>
      <c r="G216" t="s">
        <v>292</v>
      </c>
      <c r="H216" t="s">
        <v>293</v>
      </c>
      <c r="I216" t="s">
        <v>14</v>
      </c>
    </row>
    <row r="217" spans="1:9" x14ac:dyDescent="0.25">
      <c r="A217" s="2">
        <v>93</v>
      </c>
      <c r="B217" t="s">
        <v>294</v>
      </c>
      <c r="C217" t="s">
        <v>21</v>
      </c>
      <c r="D217" t="s">
        <v>11</v>
      </c>
      <c r="E217" s="1">
        <v>4.1666666666666664E-2</v>
      </c>
      <c r="F217">
        <v>140</v>
      </c>
      <c r="G217" t="s">
        <v>295</v>
      </c>
      <c r="H217" t="s">
        <v>296</v>
      </c>
      <c r="I217" t="s">
        <v>16</v>
      </c>
    </row>
    <row r="218" spans="1:9" x14ac:dyDescent="0.25">
      <c r="A218" s="2">
        <v>93</v>
      </c>
      <c r="B218" t="s">
        <v>294</v>
      </c>
      <c r="C218" t="s">
        <v>18</v>
      </c>
      <c r="D218" t="s">
        <v>11</v>
      </c>
      <c r="E218" s="1">
        <v>4.1666666666666664E-2</v>
      </c>
      <c r="F218">
        <v>140</v>
      </c>
      <c r="G218" t="s">
        <v>295</v>
      </c>
      <c r="H218" t="s">
        <v>296</v>
      </c>
      <c r="I218" t="s">
        <v>16</v>
      </c>
    </row>
    <row r="219" spans="1:9" x14ac:dyDescent="0.25">
      <c r="A219" s="2">
        <v>94</v>
      </c>
      <c r="B219" t="s">
        <v>297</v>
      </c>
      <c r="C219" t="s">
        <v>22</v>
      </c>
      <c r="D219" t="s">
        <v>34</v>
      </c>
      <c r="E219" s="1">
        <v>4.1666666666666664E-2</v>
      </c>
      <c r="F219">
        <v>180</v>
      </c>
      <c r="G219" t="s">
        <v>229</v>
      </c>
      <c r="H219" t="s">
        <v>298</v>
      </c>
      <c r="I219" t="s">
        <v>16</v>
      </c>
    </row>
    <row r="220" spans="1:9" x14ac:dyDescent="0.25">
      <c r="A220" s="2">
        <v>94</v>
      </c>
      <c r="B220" t="s">
        <v>297</v>
      </c>
      <c r="C220" t="s">
        <v>18</v>
      </c>
      <c r="D220" t="s">
        <v>34</v>
      </c>
      <c r="E220" s="1">
        <v>4.1666666666666664E-2</v>
      </c>
      <c r="F220">
        <v>180</v>
      </c>
      <c r="G220" t="s">
        <v>229</v>
      </c>
      <c r="H220" t="s">
        <v>298</v>
      </c>
      <c r="I220" t="s">
        <v>16</v>
      </c>
    </row>
    <row r="221" spans="1:9" x14ac:dyDescent="0.25">
      <c r="A221" s="2">
        <v>95</v>
      </c>
      <c r="B221" t="s">
        <v>299</v>
      </c>
      <c r="C221" t="s">
        <v>22</v>
      </c>
      <c r="D221" t="s">
        <v>34</v>
      </c>
      <c r="E221" s="1">
        <v>6.25E-2</v>
      </c>
      <c r="F221">
        <v>150</v>
      </c>
      <c r="G221" t="s">
        <v>300</v>
      </c>
      <c r="H221" t="s">
        <v>301</v>
      </c>
      <c r="I221" t="s">
        <v>14</v>
      </c>
    </row>
    <row r="222" spans="1:9" x14ac:dyDescent="0.25">
      <c r="A222" s="2">
        <v>95</v>
      </c>
      <c r="B222" t="s">
        <v>299</v>
      </c>
      <c r="C222" t="s">
        <v>18</v>
      </c>
      <c r="D222" t="s">
        <v>34</v>
      </c>
      <c r="E222" s="1">
        <v>6.25E-2</v>
      </c>
      <c r="F222">
        <v>150</v>
      </c>
      <c r="G222" t="s">
        <v>300</v>
      </c>
      <c r="H222" t="s">
        <v>301</v>
      </c>
      <c r="I222" t="s">
        <v>14</v>
      </c>
    </row>
    <row r="223" spans="1:9" x14ac:dyDescent="0.25">
      <c r="A223" s="2">
        <v>95</v>
      </c>
      <c r="B223" t="s">
        <v>299</v>
      </c>
      <c r="C223" t="s">
        <v>10</v>
      </c>
      <c r="D223" t="s">
        <v>34</v>
      </c>
      <c r="E223" s="1">
        <v>6.25E-2</v>
      </c>
      <c r="F223">
        <v>150</v>
      </c>
      <c r="G223" t="s">
        <v>300</v>
      </c>
      <c r="H223" t="s">
        <v>301</v>
      </c>
      <c r="I223" t="s">
        <v>14</v>
      </c>
    </row>
    <row r="224" spans="1:9" x14ac:dyDescent="0.25">
      <c r="A224" s="2">
        <v>96</v>
      </c>
      <c r="B224" t="s">
        <v>302</v>
      </c>
      <c r="C224" t="s">
        <v>10</v>
      </c>
      <c r="D224" t="s">
        <v>11</v>
      </c>
      <c r="E224" s="1">
        <v>6.25E-2</v>
      </c>
      <c r="F224">
        <v>190</v>
      </c>
      <c r="G224" t="s">
        <v>303</v>
      </c>
      <c r="H224" t="s">
        <v>304</v>
      </c>
      <c r="I224" t="s">
        <v>14</v>
      </c>
    </row>
    <row r="225" spans="1:9" x14ac:dyDescent="0.25">
      <c r="A225" s="2">
        <v>96</v>
      </c>
      <c r="B225" t="s">
        <v>302</v>
      </c>
      <c r="C225" t="s">
        <v>18</v>
      </c>
      <c r="D225" t="s">
        <v>11</v>
      </c>
      <c r="E225" s="1">
        <v>6.25E-2</v>
      </c>
      <c r="F225">
        <v>190</v>
      </c>
      <c r="G225" t="s">
        <v>303</v>
      </c>
      <c r="H225" t="s">
        <v>304</v>
      </c>
      <c r="I225" t="s">
        <v>14</v>
      </c>
    </row>
    <row r="226" spans="1:9" x14ac:dyDescent="0.25">
      <c r="A226" s="2">
        <v>97</v>
      </c>
      <c r="B226" t="s">
        <v>305</v>
      </c>
      <c r="C226" t="s">
        <v>10</v>
      </c>
      <c r="D226" t="s">
        <v>34</v>
      </c>
      <c r="E226" s="1">
        <v>3.125E-2</v>
      </c>
      <c r="F226">
        <v>150</v>
      </c>
      <c r="G226" t="s">
        <v>306</v>
      </c>
      <c r="H226" t="s">
        <v>307</v>
      </c>
      <c r="I226" t="s">
        <v>16</v>
      </c>
    </row>
    <row r="227" spans="1:9" x14ac:dyDescent="0.25">
      <c r="A227" s="2">
        <v>97</v>
      </c>
      <c r="B227" t="s">
        <v>305</v>
      </c>
      <c r="C227" t="s">
        <v>18</v>
      </c>
      <c r="D227" t="s">
        <v>34</v>
      </c>
      <c r="E227" s="1">
        <v>3.125E-2</v>
      </c>
      <c r="F227">
        <v>150</v>
      </c>
      <c r="G227" t="s">
        <v>306</v>
      </c>
      <c r="H227" t="s">
        <v>307</v>
      </c>
      <c r="I227" t="s">
        <v>16</v>
      </c>
    </row>
    <row r="228" spans="1:9" x14ac:dyDescent="0.25">
      <c r="A228" s="2">
        <v>98</v>
      </c>
      <c r="B228" t="s">
        <v>308</v>
      </c>
      <c r="C228" t="s">
        <v>10</v>
      </c>
      <c r="D228" t="s">
        <v>11</v>
      </c>
      <c r="E228" s="1">
        <v>6.25E-2</v>
      </c>
      <c r="F228">
        <v>110</v>
      </c>
      <c r="G228" t="s">
        <v>309</v>
      </c>
      <c r="H228" t="s">
        <v>310</v>
      </c>
      <c r="I228" t="s">
        <v>14</v>
      </c>
    </row>
    <row r="229" spans="1:9" x14ac:dyDescent="0.25">
      <c r="A229" s="2">
        <v>98</v>
      </c>
      <c r="B229" t="s">
        <v>308</v>
      </c>
      <c r="C229" t="s">
        <v>22</v>
      </c>
      <c r="D229" t="s">
        <v>11</v>
      </c>
      <c r="E229" s="1">
        <v>6.25E-2</v>
      </c>
      <c r="F229">
        <v>110</v>
      </c>
      <c r="G229" t="s">
        <v>309</v>
      </c>
      <c r="H229" t="s">
        <v>310</v>
      </c>
      <c r="I229" t="s">
        <v>14</v>
      </c>
    </row>
    <row r="230" spans="1:9" x14ac:dyDescent="0.25">
      <c r="A230" s="2">
        <v>98</v>
      </c>
      <c r="B230" t="s">
        <v>308</v>
      </c>
      <c r="C230" t="s">
        <v>18</v>
      </c>
      <c r="D230" t="s">
        <v>11</v>
      </c>
      <c r="E230" s="1">
        <v>6.25E-2</v>
      </c>
      <c r="F230">
        <v>110</v>
      </c>
      <c r="G230" t="s">
        <v>309</v>
      </c>
      <c r="H230" t="s">
        <v>310</v>
      </c>
      <c r="I230" t="s">
        <v>14</v>
      </c>
    </row>
    <row r="231" spans="1:9" x14ac:dyDescent="0.25">
      <c r="A231" s="2">
        <v>99</v>
      </c>
      <c r="B231" t="s">
        <v>311</v>
      </c>
      <c r="C231" t="s">
        <v>10</v>
      </c>
      <c r="D231" t="s">
        <v>34</v>
      </c>
      <c r="E231" s="1">
        <v>4.1666666666666664E-2</v>
      </c>
      <c r="F231">
        <v>170</v>
      </c>
      <c r="G231" t="s">
        <v>312</v>
      </c>
      <c r="H231" t="s">
        <v>313</v>
      </c>
      <c r="I231" t="s">
        <v>16</v>
      </c>
    </row>
    <row r="232" spans="1:9" x14ac:dyDescent="0.25">
      <c r="A232" s="2">
        <v>99</v>
      </c>
      <c r="B232" t="s">
        <v>311</v>
      </c>
      <c r="C232" t="s">
        <v>18</v>
      </c>
      <c r="D232" t="s">
        <v>34</v>
      </c>
      <c r="E232" s="1">
        <v>4.1666666666666664E-2</v>
      </c>
      <c r="F232">
        <v>170</v>
      </c>
      <c r="G232" t="s">
        <v>312</v>
      </c>
      <c r="H232" t="s">
        <v>313</v>
      </c>
      <c r="I232" t="s">
        <v>16</v>
      </c>
    </row>
    <row r="233" spans="1:9" x14ac:dyDescent="0.25">
      <c r="A233" s="2">
        <v>100</v>
      </c>
      <c r="B233" t="s">
        <v>314</v>
      </c>
      <c r="C233" t="s">
        <v>21</v>
      </c>
      <c r="D233" t="s">
        <v>11</v>
      </c>
      <c r="E233" s="1">
        <v>3.4722222222222224E-2</v>
      </c>
      <c r="F233">
        <v>110</v>
      </c>
      <c r="G233" t="s">
        <v>315</v>
      </c>
      <c r="H233" t="s">
        <v>316</v>
      </c>
      <c r="I233" t="s">
        <v>16</v>
      </c>
    </row>
    <row r="234" spans="1:9" x14ac:dyDescent="0.25">
      <c r="A234" s="2">
        <v>100</v>
      </c>
      <c r="B234" t="s">
        <v>314</v>
      </c>
      <c r="C234" t="s">
        <v>18</v>
      </c>
      <c r="D234" t="s">
        <v>11</v>
      </c>
      <c r="E234" s="1">
        <v>3.4722222222222224E-2</v>
      </c>
      <c r="F234">
        <v>110</v>
      </c>
      <c r="G234" t="s">
        <v>315</v>
      </c>
      <c r="H234" t="s">
        <v>316</v>
      </c>
      <c r="I234" t="s">
        <v>16</v>
      </c>
    </row>
    <row r="235" spans="1:9" x14ac:dyDescent="0.25">
      <c r="A235" s="2">
        <v>101</v>
      </c>
      <c r="B235" t="s">
        <v>317</v>
      </c>
      <c r="C235" t="s">
        <v>10</v>
      </c>
      <c r="D235" t="s">
        <v>11</v>
      </c>
      <c r="E235" s="1">
        <v>6.25E-2</v>
      </c>
      <c r="F235">
        <v>140</v>
      </c>
      <c r="G235" t="s">
        <v>318</v>
      </c>
      <c r="H235" t="s">
        <v>319</v>
      </c>
      <c r="I235" t="s">
        <v>14</v>
      </c>
    </row>
    <row r="236" spans="1:9" x14ac:dyDescent="0.25">
      <c r="A236" s="2">
        <v>101</v>
      </c>
      <c r="B236" t="s">
        <v>317</v>
      </c>
      <c r="C236" t="s">
        <v>18</v>
      </c>
      <c r="D236" t="s">
        <v>11</v>
      </c>
      <c r="E236" s="1">
        <v>6.25E-2</v>
      </c>
      <c r="F236">
        <v>140</v>
      </c>
      <c r="G236" t="s">
        <v>318</v>
      </c>
      <c r="H236" t="s">
        <v>319</v>
      </c>
      <c r="I236" t="s">
        <v>14</v>
      </c>
    </row>
    <row r="237" spans="1:9" x14ac:dyDescent="0.25">
      <c r="A237" s="2">
        <v>102</v>
      </c>
      <c r="B237" t="s">
        <v>320</v>
      </c>
      <c r="C237" t="s">
        <v>10</v>
      </c>
      <c r="D237" t="s">
        <v>34</v>
      </c>
      <c r="E237" s="1">
        <v>6.25E-2</v>
      </c>
      <c r="F237">
        <v>180</v>
      </c>
      <c r="G237" t="s">
        <v>321</v>
      </c>
      <c r="H237" t="s">
        <v>322</v>
      </c>
      <c r="I237" t="s">
        <v>14</v>
      </c>
    </row>
    <row r="238" spans="1:9" x14ac:dyDescent="0.25">
      <c r="A238" s="2">
        <v>102</v>
      </c>
      <c r="B238" t="s">
        <v>320</v>
      </c>
      <c r="C238" t="s">
        <v>18</v>
      </c>
      <c r="D238" t="s">
        <v>34</v>
      </c>
      <c r="E238" s="1">
        <v>6.25E-2</v>
      </c>
      <c r="F238">
        <v>180</v>
      </c>
      <c r="G238" t="s">
        <v>321</v>
      </c>
      <c r="H238" t="s">
        <v>322</v>
      </c>
      <c r="I238" t="s">
        <v>14</v>
      </c>
    </row>
    <row r="239" spans="1:9" x14ac:dyDescent="0.25">
      <c r="A239" s="2">
        <v>103</v>
      </c>
      <c r="B239" t="s">
        <v>323</v>
      </c>
      <c r="C239" t="s">
        <v>10</v>
      </c>
      <c r="D239" t="s">
        <v>34</v>
      </c>
      <c r="E239" s="1">
        <v>6.25E-2</v>
      </c>
      <c r="F239">
        <v>260</v>
      </c>
      <c r="G239" t="s">
        <v>324</v>
      </c>
      <c r="H239" t="s">
        <v>325</v>
      </c>
      <c r="I239" t="s">
        <v>14</v>
      </c>
    </row>
    <row r="240" spans="1:9" x14ac:dyDescent="0.25">
      <c r="A240" s="2">
        <v>103</v>
      </c>
      <c r="B240" t="s">
        <v>323</v>
      </c>
      <c r="C240" t="s">
        <v>22</v>
      </c>
      <c r="D240" t="s">
        <v>34</v>
      </c>
      <c r="E240" s="1">
        <v>6.25E-2</v>
      </c>
      <c r="F240">
        <v>260</v>
      </c>
      <c r="G240" t="s">
        <v>324</v>
      </c>
      <c r="H240" t="s">
        <v>325</v>
      </c>
      <c r="I240" t="s">
        <v>14</v>
      </c>
    </row>
    <row r="241" spans="1:9" x14ac:dyDescent="0.25">
      <c r="A241" s="2">
        <v>103</v>
      </c>
      <c r="B241" t="s">
        <v>323</v>
      </c>
      <c r="C241" t="s">
        <v>18</v>
      </c>
      <c r="D241" t="s">
        <v>34</v>
      </c>
      <c r="E241" s="1">
        <v>6.25E-2</v>
      </c>
      <c r="F241">
        <v>260</v>
      </c>
      <c r="G241" t="s">
        <v>324</v>
      </c>
      <c r="H241" t="s">
        <v>325</v>
      </c>
      <c r="I241" t="s">
        <v>14</v>
      </c>
    </row>
    <row r="242" spans="1:9" x14ac:dyDescent="0.25">
      <c r="A242" s="2">
        <v>104</v>
      </c>
      <c r="B242" t="s">
        <v>326</v>
      </c>
      <c r="C242" t="s">
        <v>18</v>
      </c>
      <c r="D242" t="s">
        <v>34</v>
      </c>
      <c r="E242" s="1">
        <v>6.25E-2</v>
      </c>
      <c r="F242">
        <v>180</v>
      </c>
      <c r="G242" t="s">
        <v>327</v>
      </c>
      <c r="H242" t="s">
        <v>328</v>
      </c>
      <c r="I242" t="s">
        <v>14</v>
      </c>
    </row>
    <row r="243" spans="1:9" x14ac:dyDescent="0.25">
      <c r="A243" s="2">
        <v>104</v>
      </c>
      <c r="B243" t="s">
        <v>326</v>
      </c>
      <c r="C243" t="s">
        <v>10</v>
      </c>
      <c r="D243" t="s">
        <v>34</v>
      </c>
      <c r="E243" s="1">
        <v>6.25E-2</v>
      </c>
      <c r="F243">
        <v>180</v>
      </c>
      <c r="G243" t="s">
        <v>327</v>
      </c>
      <c r="H243" t="s">
        <v>328</v>
      </c>
      <c r="I243" t="s">
        <v>14</v>
      </c>
    </row>
    <row r="244" spans="1:9" x14ac:dyDescent="0.25">
      <c r="A244" s="2">
        <v>105</v>
      </c>
      <c r="B244" t="s">
        <v>329</v>
      </c>
      <c r="C244" t="s">
        <v>18</v>
      </c>
      <c r="D244" t="s">
        <v>34</v>
      </c>
      <c r="E244" s="1">
        <v>6.25E-2</v>
      </c>
      <c r="F244">
        <v>200</v>
      </c>
      <c r="G244" t="s">
        <v>330</v>
      </c>
      <c r="H244" t="s">
        <v>331</v>
      </c>
      <c r="I244" t="s">
        <v>14</v>
      </c>
    </row>
    <row r="245" spans="1:9" x14ac:dyDescent="0.25">
      <c r="A245" s="2">
        <v>105</v>
      </c>
      <c r="B245" t="s">
        <v>329</v>
      </c>
      <c r="C245" t="s">
        <v>10</v>
      </c>
      <c r="D245" t="s">
        <v>34</v>
      </c>
      <c r="E245" s="1">
        <v>6.25E-2</v>
      </c>
      <c r="F245">
        <v>200</v>
      </c>
      <c r="G245" t="s">
        <v>330</v>
      </c>
      <c r="H245" t="s">
        <v>331</v>
      </c>
      <c r="I245" t="s">
        <v>14</v>
      </c>
    </row>
    <row r="246" spans="1:9" x14ac:dyDescent="0.25">
      <c r="A246" s="2">
        <v>106</v>
      </c>
      <c r="B246" t="s">
        <v>332</v>
      </c>
      <c r="C246" t="s">
        <v>18</v>
      </c>
      <c r="D246" t="s">
        <v>34</v>
      </c>
      <c r="E246" s="1">
        <v>6.25E-2</v>
      </c>
      <c r="F246">
        <v>100</v>
      </c>
      <c r="G246" t="s">
        <v>333</v>
      </c>
      <c r="H246" t="s">
        <v>334</v>
      </c>
      <c r="I246" t="s">
        <v>14</v>
      </c>
    </row>
    <row r="247" spans="1:9" x14ac:dyDescent="0.25">
      <c r="A247" s="2">
        <v>106</v>
      </c>
      <c r="B247" t="s">
        <v>332</v>
      </c>
      <c r="C247" t="s">
        <v>10</v>
      </c>
      <c r="D247" t="s">
        <v>34</v>
      </c>
      <c r="E247" s="1">
        <v>6.25E-2</v>
      </c>
      <c r="F247">
        <v>100</v>
      </c>
      <c r="G247" t="s">
        <v>333</v>
      </c>
      <c r="H247" t="s">
        <v>334</v>
      </c>
      <c r="I247" t="s">
        <v>14</v>
      </c>
    </row>
    <row r="248" spans="1:9" x14ac:dyDescent="0.25">
      <c r="A248" s="2">
        <v>107</v>
      </c>
      <c r="B248" t="s">
        <v>335</v>
      </c>
      <c r="C248" t="s">
        <v>18</v>
      </c>
      <c r="D248" t="s">
        <v>11</v>
      </c>
      <c r="E248" s="1">
        <v>4.1666666666666664E-2</v>
      </c>
      <c r="F248">
        <v>130</v>
      </c>
      <c r="G248" t="s">
        <v>336</v>
      </c>
      <c r="H248" t="s">
        <v>337</v>
      </c>
      <c r="I248" t="s">
        <v>16</v>
      </c>
    </row>
    <row r="249" spans="1:9" x14ac:dyDescent="0.25">
      <c r="A249" s="2">
        <v>107</v>
      </c>
      <c r="B249" t="s">
        <v>335</v>
      </c>
      <c r="C249" t="s">
        <v>21</v>
      </c>
      <c r="D249" t="s">
        <v>11</v>
      </c>
      <c r="E249" s="1">
        <v>4.1666666666666664E-2</v>
      </c>
      <c r="F249">
        <v>130</v>
      </c>
      <c r="G249" t="s">
        <v>336</v>
      </c>
      <c r="H249" t="s">
        <v>337</v>
      </c>
      <c r="I249" t="s">
        <v>16</v>
      </c>
    </row>
    <row r="250" spans="1:9" x14ac:dyDescent="0.25">
      <c r="A250" s="2">
        <v>108</v>
      </c>
      <c r="B250" t="s">
        <v>338</v>
      </c>
      <c r="C250" t="s">
        <v>18</v>
      </c>
      <c r="D250" t="s">
        <v>11</v>
      </c>
      <c r="E250" s="1">
        <v>6.25E-2</v>
      </c>
      <c r="F250">
        <v>130</v>
      </c>
      <c r="G250" t="s">
        <v>339</v>
      </c>
      <c r="H250" t="s">
        <v>340</v>
      </c>
      <c r="I250" t="s">
        <v>14</v>
      </c>
    </row>
    <row r="251" spans="1:9" x14ac:dyDescent="0.25">
      <c r="A251" s="2">
        <v>108</v>
      </c>
      <c r="B251" t="s">
        <v>338</v>
      </c>
      <c r="C251" t="s">
        <v>21</v>
      </c>
      <c r="D251" t="s">
        <v>11</v>
      </c>
      <c r="E251" s="1">
        <v>6.25E-2</v>
      </c>
      <c r="F251">
        <v>130</v>
      </c>
      <c r="G251" t="s">
        <v>339</v>
      </c>
      <c r="H251" t="s">
        <v>340</v>
      </c>
      <c r="I251" t="s">
        <v>14</v>
      </c>
    </row>
    <row r="252" spans="1:9" x14ac:dyDescent="0.25">
      <c r="A252" s="2">
        <v>109</v>
      </c>
      <c r="B252" t="s">
        <v>341</v>
      </c>
      <c r="C252" t="s">
        <v>10</v>
      </c>
      <c r="D252" t="s">
        <v>34</v>
      </c>
      <c r="E252" s="1">
        <v>6.25E-2</v>
      </c>
      <c r="F252">
        <v>330</v>
      </c>
      <c r="G252" t="s">
        <v>342</v>
      </c>
      <c r="H252" t="s">
        <v>343</v>
      </c>
      <c r="I252" t="s">
        <v>14</v>
      </c>
    </row>
    <row r="253" spans="1:9" x14ac:dyDescent="0.25">
      <c r="A253" s="2">
        <v>109</v>
      </c>
      <c r="B253" t="s">
        <v>341</v>
      </c>
      <c r="C253" t="s">
        <v>18</v>
      </c>
      <c r="D253" t="s">
        <v>34</v>
      </c>
      <c r="E253" s="1">
        <v>6.25E-2</v>
      </c>
      <c r="F253">
        <v>330</v>
      </c>
      <c r="G253" t="s">
        <v>342</v>
      </c>
      <c r="H253" t="s">
        <v>343</v>
      </c>
      <c r="I253" t="s">
        <v>14</v>
      </c>
    </row>
    <row r="254" spans="1:9" x14ac:dyDescent="0.25">
      <c r="A254" s="2">
        <v>110</v>
      </c>
      <c r="B254" t="s">
        <v>344</v>
      </c>
      <c r="C254" t="s">
        <v>10</v>
      </c>
      <c r="D254" t="s">
        <v>34</v>
      </c>
      <c r="E254" s="1">
        <v>6.25E-2</v>
      </c>
      <c r="F254">
        <v>190</v>
      </c>
      <c r="G254" t="s">
        <v>345</v>
      </c>
      <c r="H254" t="s">
        <v>346</v>
      </c>
      <c r="I254" t="s">
        <v>14</v>
      </c>
    </row>
    <row r="255" spans="1:9" x14ac:dyDescent="0.25">
      <c r="A255" s="2">
        <v>110</v>
      </c>
      <c r="B255" t="s">
        <v>344</v>
      </c>
      <c r="C255" t="s">
        <v>22</v>
      </c>
      <c r="D255" t="s">
        <v>34</v>
      </c>
      <c r="E255" s="1">
        <v>6.25E-2</v>
      </c>
      <c r="F255">
        <v>190</v>
      </c>
      <c r="G255" t="s">
        <v>345</v>
      </c>
      <c r="H255" t="s">
        <v>346</v>
      </c>
      <c r="I255" t="s">
        <v>14</v>
      </c>
    </row>
    <row r="256" spans="1:9" x14ac:dyDescent="0.25">
      <c r="A256" s="2">
        <v>110</v>
      </c>
      <c r="B256" t="s">
        <v>344</v>
      </c>
      <c r="C256" t="s">
        <v>18</v>
      </c>
      <c r="D256" t="s">
        <v>34</v>
      </c>
      <c r="E256" s="1">
        <v>6.25E-2</v>
      </c>
      <c r="F256">
        <v>190</v>
      </c>
      <c r="G256" t="s">
        <v>345</v>
      </c>
      <c r="H256" t="s">
        <v>346</v>
      </c>
      <c r="I256" t="s">
        <v>14</v>
      </c>
    </row>
    <row r="257" spans="1:9" x14ac:dyDescent="0.25">
      <c r="A257" s="2">
        <v>111</v>
      </c>
      <c r="B257" t="s">
        <v>347</v>
      </c>
      <c r="C257" t="s">
        <v>10</v>
      </c>
      <c r="D257" t="s">
        <v>11</v>
      </c>
      <c r="E257" s="1">
        <v>6.25E-2</v>
      </c>
      <c r="F257">
        <v>160</v>
      </c>
      <c r="G257" t="s">
        <v>348</v>
      </c>
      <c r="H257" t="s">
        <v>349</v>
      </c>
      <c r="I257" t="s">
        <v>14</v>
      </c>
    </row>
    <row r="258" spans="1:9" x14ac:dyDescent="0.25">
      <c r="A258" s="2">
        <v>111</v>
      </c>
      <c r="B258" t="s">
        <v>347</v>
      </c>
      <c r="C258" t="s">
        <v>18</v>
      </c>
      <c r="D258" t="s">
        <v>11</v>
      </c>
      <c r="E258" s="1">
        <v>6.25E-2</v>
      </c>
      <c r="F258">
        <v>160</v>
      </c>
      <c r="G258" t="s">
        <v>348</v>
      </c>
      <c r="H258" t="s">
        <v>349</v>
      </c>
      <c r="I258" t="s">
        <v>14</v>
      </c>
    </row>
    <row r="259" spans="1:9" x14ac:dyDescent="0.25">
      <c r="A259" s="2">
        <v>112</v>
      </c>
      <c r="B259" t="s">
        <v>350</v>
      </c>
      <c r="C259" t="s">
        <v>10</v>
      </c>
      <c r="D259" t="s">
        <v>34</v>
      </c>
      <c r="E259" s="1">
        <v>6.25E-2</v>
      </c>
      <c r="F259">
        <v>180</v>
      </c>
      <c r="G259" t="s">
        <v>351</v>
      </c>
      <c r="H259" t="s">
        <v>352</v>
      </c>
      <c r="I259" t="s">
        <v>14</v>
      </c>
    </row>
    <row r="260" spans="1:9" x14ac:dyDescent="0.25">
      <c r="A260" s="2">
        <v>112</v>
      </c>
      <c r="B260" t="s">
        <v>350</v>
      </c>
      <c r="C260" t="s">
        <v>18</v>
      </c>
      <c r="D260" t="s">
        <v>34</v>
      </c>
      <c r="E260" s="1">
        <v>6.25E-2</v>
      </c>
      <c r="F260">
        <v>180</v>
      </c>
      <c r="G260" t="s">
        <v>351</v>
      </c>
      <c r="H260" t="s">
        <v>352</v>
      </c>
      <c r="I260" t="s">
        <v>14</v>
      </c>
    </row>
    <row r="261" spans="1:9" x14ac:dyDescent="0.25">
      <c r="A261" s="2">
        <v>113</v>
      </c>
      <c r="B261" t="s">
        <v>353</v>
      </c>
      <c r="C261" t="s">
        <v>10</v>
      </c>
      <c r="D261" t="s">
        <v>11</v>
      </c>
      <c r="E261" s="1">
        <v>6.25E-2</v>
      </c>
      <c r="F261">
        <v>250</v>
      </c>
      <c r="G261" t="s">
        <v>354</v>
      </c>
      <c r="H261" t="s">
        <v>355</v>
      </c>
      <c r="I261" t="s">
        <v>14</v>
      </c>
    </row>
    <row r="262" spans="1:9" x14ac:dyDescent="0.25">
      <c r="A262" s="2">
        <v>114</v>
      </c>
      <c r="B262" t="s">
        <v>356</v>
      </c>
      <c r="C262" t="s">
        <v>10</v>
      </c>
      <c r="D262" t="s">
        <v>198</v>
      </c>
      <c r="E262" s="1">
        <v>3.125E-2</v>
      </c>
      <c r="F262">
        <v>70</v>
      </c>
      <c r="G262" t="s">
        <v>357</v>
      </c>
      <c r="H262" t="s">
        <v>200</v>
      </c>
      <c r="I262" t="s">
        <v>16</v>
      </c>
    </row>
    <row r="263" spans="1:9" x14ac:dyDescent="0.25">
      <c r="A263" s="2">
        <v>114</v>
      </c>
      <c r="B263" t="s">
        <v>356</v>
      </c>
      <c r="C263" t="s">
        <v>21</v>
      </c>
      <c r="D263" t="s">
        <v>198</v>
      </c>
      <c r="E263" s="1">
        <v>3.125E-2</v>
      </c>
      <c r="F263">
        <v>70</v>
      </c>
      <c r="G263" t="s">
        <v>357</v>
      </c>
      <c r="H263" t="s">
        <v>200</v>
      </c>
      <c r="I263" t="s">
        <v>16</v>
      </c>
    </row>
    <row r="264" spans="1:9" x14ac:dyDescent="0.25">
      <c r="A264" s="2">
        <v>114</v>
      </c>
      <c r="B264" t="s">
        <v>356</v>
      </c>
      <c r="C264" t="s">
        <v>22</v>
      </c>
      <c r="D264" t="s">
        <v>198</v>
      </c>
      <c r="E264" s="1">
        <v>3.125E-2</v>
      </c>
      <c r="F264">
        <v>70</v>
      </c>
      <c r="G264" t="s">
        <v>357</v>
      </c>
      <c r="H264" t="s">
        <v>200</v>
      </c>
      <c r="I264" t="s">
        <v>16</v>
      </c>
    </row>
    <row r="266" spans="1:9" x14ac:dyDescent="0.25">
      <c r="A266" s="26" t="s">
        <v>358</v>
      </c>
      <c r="B266" s="26"/>
      <c r="C266" s="26"/>
      <c r="D266" s="26"/>
      <c r="E266" s="26"/>
      <c r="F266" s="26"/>
      <c r="G266" s="26"/>
      <c r="H266" s="26"/>
    </row>
    <row r="268" spans="1:9" x14ac:dyDescent="0.25">
      <c r="B268" t="s">
        <v>359</v>
      </c>
      <c r="E268" t="s">
        <v>360</v>
      </c>
    </row>
    <row r="269" spans="1:9" x14ac:dyDescent="0.25">
      <c r="B269" t="s">
        <v>361</v>
      </c>
      <c r="C269" s="3">
        <f>COUNTIF(Table1[Category(Breakfast/Lunch/Dinner/Snack)],"Breakfast")</f>
        <v>46</v>
      </c>
    </row>
    <row r="270" spans="1:9" x14ac:dyDescent="0.25">
      <c r="B270" t="s">
        <v>362</v>
      </c>
      <c r="C270" s="3">
        <f>COUNTIF(Table1[Category(Breakfast/Lunch/Dinner/Snack)],"Lunch")</f>
        <v>92</v>
      </c>
      <c r="E270" s="4" t="s">
        <v>363</v>
      </c>
      <c r="F270" t="s">
        <v>364</v>
      </c>
    </row>
    <row r="271" spans="1:9" x14ac:dyDescent="0.25">
      <c r="B271" t="s">
        <v>365</v>
      </c>
      <c r="C271" s="3">
        <f>COUNTIF(Table1[Category(Breakfast/Lunch/Dinner/Snack)],"Snacks")</f>
        <v>24</v>
      </c>
      <c r="E271" s="5" t="s">
        <v>21</v>
      </c>
      <c r="F271">
        <v>110.95652173913044</v>
      </c>
    </row>
    <row r="272" spans="1:9" x14ac:dyDescent="0.25">
      <c r="B272" t="s">
        <v>366</v>
      </c>
      <c r="C272" s="3">
        <f>COUNTIF(Table1[Category(Breakfast/Lunch/Dinner/Snack)],"Dinner")</f>
        <v>101</v>
      </c>
      <c r="E272" s="5" t="s">
        <v>18</v>
      </c>
      <c r="F272">
        <v>137.92079207920793</v>
      </c>
    </row>
    <row r="273" spans="2:6" x14ac:dyDescent="0.25">
      <c r="E273" s="5" t="s">
        <v>10</v>
      </c>
      <c r="F273">
        <v>147.15217391304347</v>
      </c>
    </row>
    <row r="274" spans="2:6" x14ac:dyDescent="0.25">
      <c r="B274" t="s">
        <v>367</v>
      </c>
      <c r="E274" s="5" t="s">
        <v>22</v>
      </c>
      <c r="F274">
        <v>150.16666666666666</v>
      </c>
    </row>
    <row r="275" spans="2:6" x14ac:dyDescent="0.25">
      <c r="B275" t="s">
        <v>11</v>
      </c>
      <c r="C275">
        <f>COUNTIF(Table1[Classification(Veg/Non-veg/Beverage)],"Veg")</f>
        <v>147</v>
      </c>
      <c r="E275" s="5" t="s">
        <v>368</v>
      </c>
      <c r="F275">
        <v>137.55133079847909</v>
      </c>
    </row>
    <row r="276" spans="2:6" x14ac:dyDescent="0.25">
      <c r="B276" t="s">
        <v>34</v>
      </c>
      <c r="C276">
        <f>COUNTIF(Table1[Classification(Veg/Non-veg/Beverage)],"Non-veg")</f>
        <v>105</v>
      </c>
    </row>
    <row r="277" spans="2:6" x14ac:dyDescent="0.25">
      <c r="B277" t="s">
        <v>198</v>
      </c>
      <c r="C277">
        <f>COUNTIF(Table1[Classification(Veg/Non-veg/Beverage)],"Beverage")</f>
        <v>11</v>
      </c>
      <c r="E277" s="5" t="s">
        <v>369</v>
      </c>
      <c r="F277" t="s">
        <v>370</v>
      </c>
    </row>
    <row r="278" spans="2:6" x14ac:dyDescent="0.25">
      <c r="E278" s="5" t="s">
        <v>16</v>
      </c>
      <c r="F278" t="s">
        <v>371</v>
      </c>
    </row>
    <row r="279" spans="2:6" x14ac:dyDescent="0.25">
      <c r="B279" t="s">
        <v>372</v>
      </c>
      <c r="C279" s="2" t="s">
        <v>373</v>
      </c>
      <c r="E279" s="5" t="s">
        <v>14</v>
      </c>
      <c r="F279" t="s">
        <v>374</v>
      </c>
    </row>
    <row r="280" spans="2:6" x14ac:dyDescent="0.25">
      <c r="B280" t="s">
        <v>21</v>
      </c>
      <c r="C280">
        <f>GETPIVOTDATA("Selling Price (Rupees)",$E$270,"Category  (Breakfast/Lunch/Dinner/Snack)","Breakfast")</f>
        <v>110.95652173913044</v>
      </c>
      <c r="E280" s="5" t="s">
        <v>26</v>
      </c>
      <c r="F280" t="s">
        <v>375</v>
      </c>
    </row>
    <row r="281" spans="2:6" x14ac:dyDescent="0.25">
      <c r="B281" t="s">
        <v>10</v>
      </c>
      <c r="C281">
        <f>GETPIVOTDATA("Selling Price (Rupees)",$E$270,"Category  (Breakfast/Lunch/Dinner/Snack)","Lunch")</f>
        <v>147.15217391304347</v>
      </c>
    </row>
    <row r="282" spans="2:6" x14ac:dyDescent="0.25">
      <c r="B282" t="s">
        <v>22</v>
      </c>
      <c r="C282">
        <f>GETPIVOTDATA("Selling Price (Rupees)",$E$270,"Category  (Breakfast/Lunch/Dinner/Snack)","Snacks")</f>
        <v>150.16666666666666</v>
      </c>
    </row>
    <row r="283" spans="2:6" x14ac:dyDescent="0.25">
      <c r="B283" t="s">
        <v>18</v>
      </c>
      <c r="C283">
        <f>GETPIVOTDATA("Selling Price (Rupees)",$E$270,"Category  (Breakfast/Lunch/Dinner/Snack)","Dinner")</f>
        <v>137.92079207920793</v>
      </c>
    </row>
    <row r="285" spans="2:6" x14ac:dyDescent="0.25">
      <c r="B285" t="s">
        <v>376</v>
      </c>
      <c r="C285" t="s">
        <v>377</v>
      </c>
      <c r="D285">
        <f>MAX(Table1[SellingPrice(Rupees)])</f>
        <v>699</v>
      </c>
    </row>
    <row r="286" spans="2:6" x14ac:dyDescent="0.25">
      <c r="B286" t="s">
        <v>378</v>
      </c>
      <c r="C286" t="s">
        <v>379</v>
      </c>
      <c r="D286">
        <f>MIN(Table1[SellingPrice(Rupees)])</f>
        <v>60</v>
      </c>
    </row>
    <row r="288" spans="2:6" x14ac:dyDescent="0.25">
      <c r="B288" t="s">
        <v>380</v>
      </c>
      <c r="C288" s="2" t="s">
        <v>381</v>
      </c>
    </row>
    <row r="289" spans="2:7" x14ac:dyDescent="0.25">
      <c r="B289" t="s">
        <v>21</v>
      </c>
      <c r="C289">
        <f>GETPIVOTDATA("Preparation Time (hr:min)",$E$290,"Category  (Breakfast/Lunch/Dinner/Snack)","Breakfast")</f>
        <v>6.1443236714975827E-2</v>
      </c>
    </row>
    <row r="290" spans="2:7" x14ac:dyDescent="0.25">
      <c r="B290" t="s">
        <v>10</v>
      </c>
      <c r="C290">
        <f>GETPIVOTDATA("Preparation Time (hr:min)",$E$290,"Category  (Breakfast/Lunch/Dinner/Snack)","Lunch")</f>
        <v>6.3896437198067632E-2</v>
      </c>
      <c r="E290" s="4" t="s">
        <v>363</v>
      </c>
      <c r="F290" t="s">
        <v>382</v>
      </c>
    </row>
    <row r="291" spans="2:7" x14ac:dyDescent="0.25">
      <c r="B291" t="s">
        <v>22</v>
      </c>
      <c r="C291">
        <f>GETPIVOTDATA("Preparation Time (hr:min)",$E$290,"Category  (Breakfast/Lunch/Dinner/Snack)","Snacks")</f>
        <v>5.8159722222222217E-2</v>
      </c>
      <c r="E291" s="5" t="s">
        <v>21</v>
      </c>
      <c r="F291" s="1">
        <v>6.1443236714975827E-2</v>
      </c>
    </row>
    <row r="292" spans="2:7" x14ac:dyDescent="0.25">
      <c r="B292" t="s">
        <v>18</v>
      </c>
      <c r="C292">
        <f>GETPIVOTDATA("Preparation Time (hr:min)",$E$290,"Category  (Breakfast/Lunch/Dinner/Snack)","Dinner")</f>
        <v>6.1949944994499462E-2</v>
      </c>
      <c r="E292" s="5" t="s">
        <v>18</v>
      </c>
      <c r="F292" s="1">
        <v>6.1949944994499462E-2</v>
      </c>
    </row>
    <row r="293" spans="2:7" x14ac:dyDescent="0.25">
      <c r="E293" s="5" t="s">
        <v>10</v>
      </c>
      <c r="F293" s="1">
        <v>6.3896437198067632E-2</v>
      </c>
    </row>
    <row r="294" spans="2:7" x14ac:dyDescent="0.25">
      <c r="E294" s="5" t="s">
        <v>22</v>
      </c>
      <c r="F294" s="1">
        <v>5.8159722222222217E-2</v>
      </c>
    </row>
    <row r="295" spans="2:7" x14ac:dyDescent="0.25">
      <c r="E295" s="5" t="s">
        <v>368</v>
      </c>
      <c r="F295" s="1">
        <v>6.2196345585128841E-2</v>
      </c>
    </row>
    <row r="298" spans="2:7" x14ac:dyDescent="0.25">
      <c r="B298" t="s">
        <v>360</v>
      </c>
    </row>
    <row r="300" spans="2:7" x14ac:dyDescent="0.25">
      <c r="C300" s="4" t="s">
        <v>383</v>
      </c>
    </row>
    <row r="301" spans="2:7" x14ac:dyDescent="0.25">
      <c r="B301" s="4" t="s">
        <v>363</v>
      </c>
      <c r="C301" t="s">
        <v>21</v>
      </c>
      <c r="D301" t="s">
        <v>18</v>
      </c>
      <c r="E301" t="s">
        <v>10</v>
      </c>
      <c r="F301" t="s">
        <v>22</v>
      </c>
      <c r="G301" t="s">
        <v>368</v>
      </c>
    </row>
    <row r="302" spans="2:7" x14ac:dyDescent="0.25">
      <c r="B302" s="5" t="s">
        <v>384</v>
      </c>
    </row>
    <row r="303" spans="2:7" x14ac:dyDescent="0.25">
      <c r="B303" s="5" t="s">
        <v>385</v>
      </c>
    </row>
    <row r="304" spans="2:7" x14ac:dyDescent="0.25">
      <c r="B304" s="5" t="s">
        <v>386</v>
      </c>
    </row>
    <row r="305" spans="2:2" x14ac:dyDescent="0.25">
      <c r="B305" s="5" t="s">
        <v>387</v>
      </c>
    </row>
    <row r="306" spans="2:2" x14ac:dyDescent="0.25">
      <c r="B306" s="5" t="s">
        <v>388</v>
      </c>
    </row>
    <row r="307" spans="2:2" x14ac:dyDescent="0.25">
      <c r="B307" s="5" t="s">
        <v>389</v>
      </c>
    </row>
    <row r="308" spans="2:2" x14ac:dyDescent="0.25">
      <c r="B308" s="5" t="s">
        <v>390</v>
      </c>
    </row>
    <row r="309" spans="2:2" x14ac:dyDescent="0.25">
      <c r="B309" s="5" t="s">
        <v>391</v>
      </c>
    </row>
    <row r="310" spans="2:2" x14ac:dyDescent="0.25">
      <c r="B310" s="5" t="s">
        <v>392</v>
      </c>
    </row>
    <row r="311" spans="2:2" x14ac:dyDescent="0.25">
      <c r="B311" s="5" t="s">
        <v>393</v>
      </c>
    </row>
    <row r="312" spans="2:2" x14ac:dyDescent="0.25">
      <c r="B312" s="5" t="s">
        <v>394</v>
      </c>
    </row>
    <row r="313" spans="2:2" x14ac:dyDescent="0.25">
      <c r="B313" s="5" t="s">
        <v>395</v>
      </c>
    </row>
    <row r="314" spans="2:2" x14ac:dyDescent="0.25">
      <c r="B314" s="5" t="s">
        <v>396</v>
      </c>
    </row>
    <row r="315" spans="2:2" x14ac:dyDescent="0.25">
      <c r="B315" s="5" t="s">
        <v>397</v>
      </c>
    </row>
    <row r="316" spans="2:2" x14ac:dyDescent="0.25">
      <c r="B316" s="5" t="s">
        <v>398</v>
      </c>
    </row>
    <row r="317" spans="2:2" x14ac:dyDescent="0.25">
      <c r="B317" s="5" t="s">
        <v>399</v>
      </c>
    </row>
    <row r="318" spans="2:2" x14ac:dyDescent="0.25">
      <c r="B318" s="5" t="s">
        <v>400</v>
      </c>
    </row>
    <row r="319" spans="2:2" x14ac:dyDescent="0.25">
      <c r="B319" s="5" t="s">
        <v>401</v>
      </c>
    </row>
    <row r="320" spans="2:2" x14ac:dyDescent="0.25">
      <c r="B320" s="5" t="s">
        <v>402</v>
      </c>
    </row>
    <row r="321" spans="2:2" x14ac:dyDescent="0.25">
      <c r="B321" s="5" t="s">
        <v>328</v>
      </c>
    </row>
    <row r="322" spans="2:2" x14ac:dyDescent="0.25">
      <c r="B322" s="5" t="s">
        <v>403</v>
      </c>
    </row>
    <row r="323" spans="2:2" x14ac:dyDescent="0.25">
      <c r="B323" s="5" t="s">
        <v>404</v>
      </c>
    </row>
    <row r="324" spans="2:2" x14ac:dyDescent="0.25">
      <c r="B324" s="5" t="s">
        <v>405</v>
      </c>
    </row>
    <row r="325" spans="2:2" x14ac:dyDescent="0.25">
      <c r="B325" s="5" t="s">
        <v>406</v>
      </c>
    </row>
    <row r="326" spans="2:2" x14ac:dyDescent="0.25">
      <c r="B326" s="5" t="s">
        <v>407</v>
      </c>
    </row>
    <row r="327" spans="2:2" x14ac:dyDescent="0.25">
      <c r="B327" s="5" t="s">
        <v>408</v>
      </c>
    </row>
    <row r="328" spans="2:2" x14ac:dyDescent="0.25">
      <c r="B328" s="5" t="s">
        <v>409</v>
      </c>
    </row>
    <row r="329" spans="2:2" x14ac:dyDescent="0.25">
      <c r="B329" s="5" t="s">
        <v>410</v>
      </c>
    </row>
    <row r="330" spans="2:2" x14ac:dyDescent="0.25">
      <c r="B330" s="5" t="s">
        <v>411</v>
      </c>
    </row>
    <row r="331" spans="2:2" x14ac:dyDescent="0.25">
      <c r="B331" s="5" t="s">
        <v>412</v>
      </c>
    </row>
    <row r="332" spans="2:2" x14ac:dyDescent="0.25">
      <c r="B332" s="5" t="s">
        <v>413</v>
      </c>
    </row>
    <row r="333" spans="2:2" x14ac:dyDescent="0.25">
      <c r="B333" s="5" t="s">
        <v>414</v>
      </c>
    </row>
    <row r="334" spans="2:2" x14ac:dyDescent="0.25">
      <c r="B334" s="5" t="s">
        <v>415</v>
      </c>
    </row>
    <row r="335" spans="2:2" x14ac:dyDescent="0.25">
      <c r="B335" s="5" t="s">
        <v>416</v>
      </c>
    </row>
    <row r="336" spans="2:2" x14ac:dyDescent="0.25">
      <c r="B336" s="5" t="s">
        <v>417</v>
      </c>
    </row>
    <row r="337" spans="2:2" x14ac:dyDescent="0.25">
      <c r="B337" s="5" t="s">
        <v>418</v>
      </c>
    </row>
    <row r="338" spans="2:2" x14ac:dyDescent="0.25">
      <c r="B338" s="5" t="s">
        <v>419</v>
      </c>
    </row>
    <row r="339" spans="2:2" x14ac:dyDescent="0.25">
      <c r="B339" s="5" t="s">
        <v>420</v>
      </c>
    </row>
    <row r="340" spans="2:2" x14ac:dyDescent="0.25">
      <c r="B340" s="5" t="s">
        <v>421</v>
      </c>
    </row>
    <row r="341" spans="2:2" x14ac:dyDescent="0.25">
      <c r="B341" s="5" t="s">
        <v>422</v>
      </c>
    </row>
    <row r="342" spans="2:2" x14ac:dyDescent="0.25">
      <c r="B342" s="5" t="s">
        <v>423</v>
      </c>
    </row>
    <row r="343" spans="2:2" x14ac:dyDescent="0.25">
      <c r="B343" s="5" t="s">
        <v>424</v>
      </c>
    </row>
    <row r="344" spans="2:2" x14ac:dyDescent="0.25">
      <c r="B344" s="5" t="s">
        <v>425</v>
      </c>
    </row>
    <row r="345" spans="2:2" x14ac:dyDescent="0.25">
      <c r="B345" s="5" t="s">
        <v>426</v>
      </c>
    </row>
    <row r="346" spans="2:2" x14ac:dyDescent="0.25">
      <c r="B346" s="5" t="s">
        <v>427</v>
      </c>
    </row>
    <row r="347" spans="2:2" x14ac:dyDescent="0.25">
      <c r="B347" s="5" t="s">
        <v>428</v>
      </c>
    </row>
    <row r="348" spans="2:2" x14ac:dyDescent="0.25">
      <c r="B348" s="5" t="s">
        <v>429</v>
      </c>
    </row>
    <row r="349" spans="2:2" x14ac:dyDescent="0.25">
      <c r="B349" s="5" t="s">
        <v>430</v>
      </c>
    </row>
    <row r="350" spans="2:2" x14ac:dyDescent="0.25">
      <c r="B350" s="5" t="s">
        <v>83</v>
      </c>
    </row>
    <row r="351" spans="2:2" x14ac:dyDescent="0.25">
      <c r="B351" s="5" t="s">
        <v>431</v>
      </c>
    </row>
    <row r="352" spans="2:2" x14ac:dyDescent="0.25">
      <c r="B352" s="5" t="s">
        <v>432</v>
      </c>
    </row>
    <row r="353" spans="2:2" x14ac:dyDescent="0.25">
      <c r="B353" s="5" t="s">
        <v>433</v>
      </c>
    </row>
    <row r="354" spans="2:2" x14ac:dyDescent="0.25">
      <c r="B354" s="5" t="s">
        <v>434</v>
      </c>
    </row>
    <row r="355" spans="2:2" x14ac:dyDescent="0.25">
      <c r="B355" s="5" t="s">
        <v>435</v>
      </c>
    </row>
    <row r="356" spans="2:2" x14ac:dyDescent="0.25">
      <c r="B356" s="5" t="s">
        <v>436</v>
      </c>
    </row>
    <row r="357" spans="2:2" x14ac:dyDescent="0.25">
      <c r="B357" s="5" t="s">
        <v>437</v>
      </c>
    </row>
    <row r="358" spans="2:2" x14ac:dyDescent="0.25">
      <c r="B358" s="5" t="s">
        <v>438</v>
      </c>
    </row>
    <row r="359" spans="2:2" x14ac:dyDescent="0.25">
      <c r="B359" s="5" t="s">
        <v>439</v>
      </c>
    </row>
    <row r="360" spans="2:2" x14ac:dyDescent="0.25">
      <c r="B360" s="5" t="s">
        <v>440</v>
      </c>
    </row>
    <row r="361" spans="2:2" x14ac:dyDescent="0.25">
      <c r="B361" s="5" t="s">
        <v>441</v>
      </c>
    </row>
    <row r="362" spans="2:2" x14ac:dyDescent="0.25">
      <c r="B362" s="5" t="s">
        <v>442</v>
      </c>
    </row>
    <row r="363" spans="2:2" x14ac:dyDescent="0.25">
      <c r="B363" s="5" t="s">
        <v>443</v>
      </c>
    </row>
    <row r="364" spans="2:2" x14ac:dyDescent="0.25">
      <c r="B364" s="5" t="s">
        <v>444</v>
      </c>
    </row>
    <row r="365" spans="2:2" x14ac:dyDescent="0.25">
      <c r="B365" s="5" t="s">
        <v>445</v>
      </c>
    </row>
    <row r="366" spans="2:2" x14ac:dyDescent="0.25">
      <c r="B366" s="5" t="s">
        <v>446</v>
      </c>
    </row>
    <row r="367" spans="2:2" x14ac:dyDescent="0.25">
      <c r="B367" s="5" t="s">
        <v>447</v>
      </c>
    </row>
    <row r="368" spans="2:2" x14ac:dyDescent="0.25">
      <c r="B368" s="5" t="s">
        <v>448</v>
      </c>
    </row>
    <row r="369" spans="2:2" x14ac:dyDescent="0.25">
      <c r="B369" s="5" t="s">
        <v>449</v>
      </c>
    </row>
    <row r="370" spans="2:2" x14ac:dyDescent="0.25">
      <c r="B370" s="5" t="s">
        <v>450</v>
      </c>
    </row>
    <row r="371" spans="2:2" x14ac:dyDescent="0.25">
      <c r="B371" s="5" t="s">
        <v>451</v>
      </c>
    </row>
    <row r="372" spans="2:2" x14ac:dyDescent="0.25">
      <c r="B372" s="5" t="s">
        <v>452</v>
      </c>
    </row>
    <row r="373" spans="2:2" x14ac:dyDescent="0.25">
      <c r="B373" s="5" t="s">
        <v>453</v>
      </c>
    </row>
    <row r="374" spans="2:2" x14ac:dyDescent="0.25">
      <c r="B374" s="5" t="s">
        <v>454</v>
      </c>
    </row>
    <row r="375" spans="2:2" x14ac:dyDescent="0.25">
      <c r="B375" s="5" t="s">
        <v>455</v>
      </c>
    </row>
    <row r="376" spans="2:2" x14ac:dyDescent="0.25">
      <c r="B376" s="5" t="s">
        <v>456</v>
      </c>
    </row>
    <row r="377" spans="2:2" x14ac:dyDescent="0.25">
      <c r="B377" s="5" t="s">
        <v>457</v>
      </c>
    </row>
    <row r="378" spans="2:2" x14ac:dyDescent="0.25">
      <c r="B378" s="5" t="s">
        <v>458</v>
      </c>
    </row>
    <row r="379" spans="2:2" x14ac:dyDescent="0.25">
      <c r="B379" s="5" t="s">
        <v>459</v>
      </c>
    </row>
    <row r="380" spans="2:2" x14ac:dyDescent="0.25">
      <c r="B380" s="5" t="s">
        <v>460</v>
      </c>
    </row>
    <row r="381" spans="2:2" x14ac:dyDescent="0.25">
      <c r="B381" s="5" t="s">
        <v>461</v>
      </c>
    </row>
    <row r="382" spans="2:2" x14ac:dyDescent="0.25">
      <c r="B382" s="5" t="s">
        <v>462</v>
      </c>
    </row>
    <row r="383" spans="2:2" x14ac:dyDescent="0.25">
      <c r="B383" s="5" t="s">
        <v>463</v>
      </c>
    </row>
    <row r="384" spans="2:2" x14ac:dyDescent="0.25">
      <c r="B384" s="5" t="s">
        <v>464</v>
      </c>
    </row>
    <row r="385" spans="2:2" x14ac:dyDescent="0.25">
      <c r="B385" s="5" t="s">
        <v>465</v>
      </c>
    </row>
    <row r="386" spans="2:2" x14ac:dyDescent="0.25">
      <c r="B386" s="5" t="s">
        <v>71</v>
      </c>
    </row>
    <row r="387" spans="2:2" x14ac:dyDescent="0.25">
      <c r="B387" s="5" t="s">
        <v>466</v>
      </c>
    </row>
    <row r="388" spans="2:2" x14ac:dyDescent="0.25">
      <c r="B388" s="5" t="s">
        <v>467</v>
      </c>
    </row>
    <row r="389" spans="2:2" x14ac:dyDescent="0.25">
      <c r="B389" s="5" t="s">
        <v>468</v>
      </c>
    </row>
    <row r="390" spans="2:2" x14ac:dyDescent="0.25">
      <c r="B390" s="5" t="s">
        <v>469</v>
      </c>
    </row>
    <row r="391" spans="2:2" x14ac:dyDescent="0.25">
      <c r="B391" s="5" t="s">
        <v>470</v>
      </c>
    </row>
    <row r="392" spans="2:2" x14ac:dyDescent="0.25">
      <c r="B392" s="5" t="s">
        <v>471</v>
      </c>
    </row>
    <row r="393" spans="2:2" x14ac:dyDescent="0.25">
      <c r="B393" s="5" t="s">
        <v>281</v>
      </c>
    </row>
    <row r="394" spans="2:2" x14ac:dyDescent="0.25">
      <c r="B394" s="5" t="s">
        <v>472</v>
      </c>
    </row>
    <row r="395" spans="2:2" x14ac:dyDescent="0.25">
      <c r="B395" s="5" t="s">
        <v>473</v>
      </c>
    </row>
    <row r="396" spans="2:2" x14ac:dyDescent="0.25">
      <c r="B396" s="5" t="s">
        <v>474</v>
      </c>
    </row>
    <row r="397" spans="2:2" x14ac:dyDescent="0.25">
      <c r="B397" s="5" t="s">
        <v>475</v>
      </c>
    </row>
    <row r="398" spans="2:2" x14ac:dyDescent="0.25">
      <c r="B398" s="5" t="s">
        <v>476</v>
      </c>
    </row>
    <row r="399" spans="2:2" x14ac:dyDescent="0.25">
      <c r="B399" s="5" t="s">
        <v>77</v>
      </c>
    </row>
    <row r="400" spans="2:2" x14ac:dyDescent="0.25">
      <c r="B400" s="5" t="s">
        <v>477</v>
      </c>
    </row>
    <row r="401" spans="2:2" x14ac:dyDescent="0.25">
      <c r="B401" s="5" t="s">
        <v>478</v>
      </c>
    </row>
    <row r="402" spans="2:2" x14ac:dyDescent="0.25">
      <c r="B402" s="5" t="s">
        <v>479</v>
      </c>
    </row>
    <row r="403" spans="2:2" x14ac:dyDescent="0.25">
      <c r="B403" s="5" t="s">
        <v>480</v>
      </c>
    </row>
    <row r="404" spans="2:2" x14ac:dyDescent="0.25">
      <c r="B404" s="5" t="s">
        <v>481</v>
      </c>
    </row>
    <row r="405" spans="2:2" x14ac:dyDescent="0.25">
      <c r="B405" s="5" t="s">
        <v>482</v>
      </c>
    </row>
    <row r="406" spans="2:2" x14ac:dyDescent="0.25">
      <c r="B406" s="5" t="s">
        <v>483</v>
      </c>
    </row>
    <row r="407" spans="2:2" x14ac:dyDescent="0.25">
      <c r="B407" s="5" t="s">
        <v>484</v>
      </c>
    </row>
    <row r="408" spans="2:2" x14ac:dyDescent="0.25">
      <c r="B408" s="5" t="s">
        <v>485</v>
      </c>
    </row>
    <row r="409" spans="2:2" x14ac:dyDescent="0.25">
      <c r="B409" s="5" t="s">
        <v>486</v>
      </c>
    </row>
    <row r="410" spans="2:2" x14ac:dyDescent="0.25">
      <c r="B410" s="5" t="s">
        <v>487</v>
      </c>
    </row>
    <row r="411" spans="2:2" x14ac:dyDescent="0.25">
      <c r="B411" s="5" t="s">
        <v>488</v>
      </c>
    </row>
    <row r="412" spans="2:2" x14ac:dyDescent="0.25">
      <c r="B412" s="5" t="s">
        <v>489</v>
      </c>
    </row>
    <row r="413" spans="2:2" x14ac:dyDescent="0.25">
      <c r="B413" s="5" t="s">
        <v>490</v>
      </c>
    </row>
    <row r="414" spans="2:2" x14ac:dyDescent="0.25">
      <c r="B414" s="5" t="s">
        <v>491</v>
      </c>
    </row>
    <row r="415" spans="2:2" x14ac:dyDescent="0.25">
      <c r="B415" s="5" t="s">
        <v>492</v>
      </c>
    </row>
    <row r="416" spans="2:2" x14ac:dyDescent="0.25">
      <c r="B416" s="5" t="s">
        <v>493</v>
      </c>
    </row>
    <row r="417" spans="2:2" x14ac:dyDescent="0.25">
      <c r="B417" s="5" t="s">
        <v>494</v>
      </c>
    </row>
    <row r="418" spans="2:2" x14ac:dyDescent="0.25">
      <c r="B418" s="5" t="s">
        <v>495</v>
      </c>
    </row>
    <row r="419" spans="2:2" x14ac:dyDescent="0.25">
      <c r="B419" s="5" t="s">
        <v>496</v>
      </c>
    </row>
    <row r="420" spans="2:2" x14ac:dyDescent="0.25">
      <c r="B420" s="5" t="s">
        <v>497</v>
      </c>
    </row>
    <row r="421" spans="2:2" x14ac:dyDescent="0.25">
      <c r="B421" s="5" t="s">
        <v>498</v>
      </c>
    </row>
    <row r="422" spans="2:2" x14ac:dyDescent="0.25">
      <c r="B422" s="5" t="s">
        <v>368</v>
      </c>
    </row>
  </sheetData>
  <mergeCells count="1">
    <mergeCell ref="A266:H266"/>
  </mergeCells>
  <phoneticPr fontId="1" type="noConversion"/>
  <pageMargins left="0.7" right="0.7" top="0.75" bottom="0.75" header="0.3" footer="0.3"/>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77D5-3819-4BFA-8ED8-BBE8F0E75FB9}">
  <dimension ref="A1:W881"/>
  <sheetViews>
    <sheetView topLeftCell="B311" zoomScaleNormal="100" workbookViewId="0">
      <selection activeCell="F325" sqref="F325"/>
    </sheetView>
  </sheetViews>
  <sheetFormatPr defaultRowHeight="15" x14ac:dyDescent="0.25"/>
  <cols>
    <col min="1" max="1" width="18.28515625" customWidth="1"/>
    <col min="2" max="2" width="16.28515625" style="8" customWidth="1"/>
    <col min="3" max="3" width="13.5703125" customWidth="1"/>
    <col min="4" max="5" width="13.85546875" customWidth="1"/>
    <col min="6" max="6" width="33.5703125" customWidth="1"/>
    <col min="7" max="7" width="11.5703125" style="2" customWidth="1"/>
    <col min="8" max="8" width="18.28515625" style="2" customWidth="1"/>
    <col min="9" max="9" width="36.85546875" customWidth="1"/>
    <col min="10" max="10" width="0.5703125" style="8" customWidth="1"/>
    <col min="11" max="11" width="15.5703125" customWidth="1"/>
    <col min="12" max="12" width="32.5703125" customWidth="1"/>
    <col min="13" max="13" width="13.42578125" bestFit="1" customWidth="1"/>
    <col min="14" max="14" width="14" bestFit="1" customWidth="1"/>
    <col min="15" max="15" width="39" bestFit="1" customWidth="1"/>
    <col min="16" max="16" width="24.7109375" customWidth="1"/>
    <col min="17" max="17" width="24.28515625" customWidth="1"/>
    <col min="18" max="18" width="24.85546875" customWidth="1"/>
    <col min="19" max="20" width="18.5703125" bestFit="1" customWidth="1"/>
    <col min="21" max="21" width="16.85546875" bestFit="1" customWidth="1"/>
    <col min="22" max="22" width="14.7109375" bestFit="1" customWidth="1"/>
    <col min="23" max="23" width="11.28515625" bestFit="1" customWidth="1"/>
    <col min="24" max="24" width="7.140625" bestFit="1" customWidth="1"/>
    <col min="25" max="25" width="7" bestFit="1" customWidth="1"/>
    <col min="26" max="27" width="11.28515625" bestFit="1" customWidth="1"/>
    <col min="32" max="32" width="14" bestFit="1" customWidth="1"/>
    <col min="33" max="33" width="18.5703125" bestFit="1" customWidth="1"/>
    <col min="34" max="34" width="16.85546875" bestFit="1" customWidth="1"/>
    <col min="35" max="35" width="14" bestFit="1" customWidth="1"/>
    <col min="36" max="36" width="39" bestFit="1" customWidth="1"/>
    <col min="37" max="38" width="11.28515625" bestFit="1" customWidth="1"/>
    <col min="39" max="39" width="13.42578125" bestFit="1" customWidth="1"/>
    <col min="40" max="40" width="20.7109375" bestFit="1" customWidth="1"/>
    <col min="42" max="42" width="13.42578125" bestFit="1" customWidth="1"/>
    <col min="43" max="43" width="20.7109375" bestFit="1" customWidth="1"/>
    <col min="45" max="45" width="86.42578125" bestFit="1" customWidth="1"/>
    <col min="46" max="46" width="19.85546875" bestFit="1" customWidth="1"/>
  </cols>
  <sheetData>
    <row r="1" spans="1:21" x14ac:dyDescent="0.25">
      <c r="A1" t="s">
        <v>595</v>
      </c>
      <c r="B1" s="8" t="s">
        <v>596</v>
      </c>
      <c r="C1" t="s">
        <v>597</v>
      </c>
      <c r="D1" t="s">
        <v>598</v>
      </c>
      <c r="E1" t="s">
        <v>599</v>
      </c>
      <c r="F1" t="s">
        <v>600</v>
      </c>
      <c r="G1" s="2" t="s">
        <v>601</v>
      </c>
      <c r="H1" s="2" t="s">
        <v>602</v>
      </c>
      <c r="I1" t="s">
        <v>603</v>
      </c>
      <c r="J1" s="8" t="s">
        <v>604</v>
      </c>
      <c r="K1" t="s">
        <v>1345</v>
      </c>
    </row>
    <row r="2" spans="1:21" x14ac:dyDescent="0.25">
      <c r="A2" t="s">
        <v>605</v>
      </c>
      <c r="B2" s="8">
        <v>45748</v>
      </c>
      <c r="C2" t="s">
        <v>606</v>
      </c>
      <c r="D2" t="s">
        <v>10</v>
      </c>
      <c r="E2" t="s">
        <v>607</v>
      </c>
      <c r="F2" t="s">
        <v>608</v>
      </c>
      <c r="G2" s="2">
        <v>1</v>
      </c>
      <c r="H2" s="2">
        <v>129</v>
      </c>
      <c r="I2" t="s">
        <v>11</v>
      </c>
      <c r="J2" s="9">
        <v>45748</v>
      </c>
      <c r="K2" t="str">
        <f t="shared" ref="K2:K65" si="0">IF(E2&lt;&gt;"", E2, K1)</f>
        <v>SUBSCRIPTION</v>
      </c>
    </row>
    <row r="3" spans="1:21" x14ac:dyDescent="0.25">
      <c r="A3" t="s">
        <v>609</v>
      </c>
      <c r="B3" s="8">
        <v>45748</v>
      </c>
      <c r="C3" t="s">
        <v>606</v>
      </c>
      <c r="D3" t="s">
        <v>18</v>
      </c>
      <c r="E3" t="s">
        <v>607</v>
      </c>
      <c r="F3" t="s">
        <v>610</v>
      </c>
      <c r="G3" s="2">
        <v>1</v>
      </c>
      <c r="H3" s="2">
        <v>117</v>
      </c>
      <c r="I3" t="s">
        <v>11</v>
      </c>
      <c r="J3" s="9">
        <v>45748</v>
      </c>
      <c r="K3" t="str">
        <f t="shared" si="0"/>
        <v>SUBSCRIPTION</v>
      </c>
      <c r="L3" t="s">
        <v>611</v>
      </c>
      <c r="M3" t="s">
        <v>612</v>
      </c>
      <c r="T3" s="27"/>
      <c r="U3" s="27"/>
    </row>
    <row r="4" spans="1:21" x14ac:dyDescent="0.25">
      <c r="A4" t="s">
        <v>613</v>
      </c>
      <c r="B4" s="8">
        <v>45748</v>
      </c>
      <c r="C4" t="s">
        <v>606</v>
      </c>
      <c r="D4" t="s">
        <v>18</v>
      </c>
      <c r="E4" t="s">
        <v>607</v>
      </c>
      <c r="F4" t="s">
        <v>614</v>
      </c>
      <c r="G4" s="2">
        <v>1</v>
      </c>
      <c r="H4" s="2">
        <v>99</v>
      </c>
      <c r="I4" t="s">
        <v>11</v>
      </c>
      <c r="J4" s="9">
        <v>45748</v>
      </c>
      <c r="K4" t="str">
        <f t="shared" si="0"/>
        <v>SUBSCRIPTION</v>
      </c>
      <c r="L4" t="s">
        <v>615</v>
      </c>
      <c r="M4">
        <f>COUNTA(A2:A881)</f>
        <v>567</v>
      </c>
    </row>
    <row r="5" spans="1:21" x14ac:dyDescent="0.25">
      <c r="A5" t="s">
        <v>616</v>
      </c>
      <c r="B5" s="8">
        <v>45748</v>
      </c>
      <c r="C5" t="s">
        <v>606</v>
      </c>
      <c r="D5" t="s">
        <v>18</v>
      </c>
      <c r="E5" t="s">
        <v>607</v>
      </c>
      <c r="F5" t="s">
        <v>937</v>
      </c>
      <c r="G5" s="2">
        <v>1</v>
      </c>
      <c r="H5" s="2">
        <v>129</v>
      </c>
      <c r="I5" t="s">
        <v>34</v>
      </c>
      <c r="J5" s="9">
        <v>45748</v>
      </c>
      <c r="K5" t="str">
        <f t="shared" si="0"/>
        <v>SUBSCRIPTION</v>
      </c>
      <c r="L5" t="s">
        <v>617</v>
      </c>
      <c r="M5">
        <f>COUNTA(_xlfn.UNIQUE(B2:B881))</f>
        <v>49</v>
      </c>
    </row>
    <row r="6" spans="1:21" x14ac:dyDescent="0.25">
      <c r="A6" t="s">
        <v>618</v>
      </c>
      <c r="B6" s="8">
        <v>45748</v>
      </c>
      <c r="C6" t="s">
        <v>606</v>
      </c>
      <c r="D6" t="s">
        <v>21</v>
      </c>
      <c r="E6" t="s">
        <v>607</v>
      </c>
      <c r="F6" t="s">
        <v>933</v>
      </c>
      <c r="G6" s="2">
        <v>2</v>
      </c>
      <c r="H6" s="2">
        <f>2*99</f>
        <v>198</v>
      </c>
      <c r="I6" t="s">
        <v>11</v>
      </c>
      <c r="J6" s="9">
        <v>45748</v>
      </c>
      <c r="K6" t="str">
        <f t="shared" si="0"/>
        <v>SUBSCRIPTION</v>
      </c>
      <c r="L6" t="s">
        <v>619</v>
      </c>
      <c r="M6" s="7">
        <f>M4/M5</f>
        <v>11.571428571428571</v>
      </c>
    </row>
    <row r="7" spans="1:21" x14ac:dyDescent="0.25">
      <c r="A7" t="s">
        <v>620</v>
      </c>
      <c r="B7" s="8">
        <v>45748</v>
      </c>
      <c r="C7" t="s">
        <v>606</v>
      </c>
      <c r="D7" t="s">
        <v>21</v>
      </c>
      <c r="E7" t="s">
        <v>607</v>
      </c>
      <c r="F7" t="s">
        <v>933</v>
      </c>
      <c r="G7" s="2">
        <v>1</v>
      </c>
      <c r="H7" s="2">
        <v>99</v>
      </c>
      <c r="I7" t="s">
        <v>11</v>
      </c>
      <c r="J7" s="9">
        <v>45748</v>
      </c>
      <c r="K7" t="str">
        <f t="shared" si="0"/>
        <v>SUBSCRIPTION</v>
      </c>
      <c r="L7" t="s">
        <v>621</v>
      </c>
      <c r="M7">
        <f>MIN(O18:O66)</f>
        <v>1</v>
      </c>
    </row>
    <row r="8" spans="1:21" hidden="1" x14ac:dyDescent="0.25">
      <c r="A8" t="s">
        <v>622</v>
      </c>
      <c r="B8" s="8">
        <v>45748</v>
      </c>
      <c r="C8" t="s">
        <v>606</v>
      </c>
      <c r="D8" t="s">
        <v>10</v>
      </c>
      <c r="E8" t="s">
        <v>623</v>
      </c>
      <c r="F8" t="s">
        <v>77</v>
      </c>
      <c r="G8" s="2">
        <v>1</v>
      </c>
      <c r="H8" s="2">
        <v>65</v>
      </c>
      <c r="I8" t="s">
        <v>11</v>
      </c>
      <c r="J8" s="9">
        <v>45748</v>
      </c>
      <c r="K8" t="str">
        <f t="shared" si="0"/>
        <v>REGULAR</v>
      </c>
      <c r="L8" t="s">
        <v>624</v>
      </c>
      <c r="M8">
        <f>MAX(O18:O66)</f>
        <v>567</v>
      </c>
    </row>
    <row r="9" spans="1:21" hidden="1" x14ac:dyDescent="0.25">
      <c r="A9" t="s">
        <v>625</v>
      </c>
      <c r="B9" s="8">
        <v>45748</v>
      </c>
      <c r="C9" t="s">
        <v>606</v>
      </c>
      <c r="D9" t="s">
        <v>10</v>
      </c>
      <c r="E9" t="s">
        <v>623</v>
      </c>
      <c r="F9" t="s">
        <v>626</v>
      </c>
      <c r="G9" s="2">
        <v>1</v>
      </c>
      <c r="H9" s="2">
        <v>290</v>
      </c>
      <c r="I9" t="s">
        <v>11</v>
      </c>
      <c r="J9" s="9">
        <v>45748</v>
      </c>
      <c r="K9" t="str">
        <f t="shared" si="0"/>
        <v>REGULAR</v>
      </c>
      <c r="L9" t="s">
        <v>1341</v>
      </c>
      <c r="M9">
        <f>SUM(H2:H881)</f>
        <v>117986</v>
      </c>
    </row>
    <row r="10" spans="1:21" hidden="1" x14ac:dyDescent="0.25">
      <c r="A10" t="s">
        <v>627</v>
      </c>
      <c r="B10" s="8">
        <v>45748</v>
      </c>
      <c r="C10" t="s">
        <v>606</v>
      </c>
      <c r="D10" t="s">
        <v>10</v>
      </c>
      <c r="E10" t="s">
        <v>623</v>
      </c>
      <c r="F10" t="s">
        <v>475</v>
      </c>
      <c r="G10" s="2">
        <v>1</v>
      </c>
      <c r="H10" s="2">
        <v>95</v>
      </c>
      <c r="I10" t="s">
        <v>11</v>
      </c>
      <c r="J10" s="9">
        <v>45748</v>
      </c>
      <c r="K10" t="str">
        <f t="shared" si="0"/>
        <v>REGULAR</v>
      </c>
      <c r="L10" t="s">
        <v>628</v>
      </c>
      <c r="M10">
        <f>M9/M4</f>
        <v>208.08818342151676</v>
      </c>
    </row>
    <row r="11" spans="1:21" hidden="1" x14ac:dyDescent="0.25">
      <c r="A11" t="s">
        <v>629</v>
      </c>
      <c r="B11" s="8">
        <v>45748</v>
      </c>
      <c r="C11" t="s">
        <v>606</v>
      </c>
      <c r="D11" t="s">
        <v>10</v>
      </c>
      <c r="E11" t="s">
        <v>623</v>
      </c>
      <c r="F11" t="s">
        <v>405</v>
      </c>
      <c r="G11" s="2">
        <v>1</v>
      </c>
      <c r="H11" s="2">
        <v>240</v>
      </c>
      <c r="I11" t="s">
        <v>11</v>
      </c>
      <c r="J11" s="9">
        <v>45748</v>
      </c>
      <c r="K11" t="str">
        <f t="shared" si="0"/>
        <v>REGULAR</v>
      </c>
      <c r="L11" t="s">
        <v>1347</v>
      </c>
      <c r="M11" t="s">
        <v>614</v>
      </c>
    </row>
    <row r="12" spans="1:21" hidden="1" x14ac:dyDescent="0.25">
      <c r="F12" t="s">
        <v>492</v>
      </c>
      <c r="G12" s="2">
        <v>1</v>
      </c>
      <c r="I12" t="s">
        <v>11</v>
      </c>
      <c r="J12" s="9">
        <f>J11</f>
        <v>45748</v>
      </c>
      <c r="K12" t="str">
        <f t="shared" si="0"/>
        <v>REGULAR</v>
      </c>
      <c r="L12" t="s">
        <v>1346</v>
      </c>
      <c r="M12" t="s">
        <v>428</v>
      </c>
    </row>
    <row r="13" spans="1:21" hidden="1" x14ac:dyDescent="0.25">
      <c r="F13" t="s">
        <v>475</v>
      </c>
      <c r="G13" s="2">
        <v>1</v>
      </c>
      <c r="I13" t="s">
        <v>11</v>
      </c>
      <c r="J13" s="9">
        <f>J12</f>
        <v>45748</v>
      </c>
      <c r="K13" t="str">
        <f t="shared" si="0"/>
        <v>REGULAR</v>
      </c>
      <c r="L13" t="s">
        <v>1346</v>
      </c>
      <c r="M13" t="s">
        <v>428</v>
      </c>
    </row>
    <row r="14" spans="1:21" hidden="1" x14ac:dyDescent="0.25">
      <c r="A14" t="s">
        <v>630</v>
      </c>
      <c r="B14" s="8">
        <v>45748</v>
      </c>
      <c r="C14" t="s">
        <v>606</v>
      </c>
      <c r="D14" t="s">
        <v>10</v>
      </c>
      <c r="E14" t="s">
        <v>623</v>
      </c>
      <c r="F14" t="s">
        <v>475</v>
      </c>
      <c r="G14" s="2">
        <v>1</v>
      </c>
      <c r="H14" s="2">
        <v>95</v>
      </c>
      <c r="I14" t="s">
        <v>11</v>
      </c>
      <c r="J14" s="9">
        <v>45748</v>
      </c>
      <c r="K14" t="str">
        <f t="shared" si="0"/>
        <v>REGULAR</v>
      </c>
      <c r="L14" t="s">
        <v>1346</v>
      </c>
      <c r="M14" t="s">
        <v>428</v>
      </c>
    </row>
    <row r="15" spans="1:21" ht="15.75" customHeight="1" x14ac:dyDescent="0.25">
      <c r="A15" t="s">
        <v>631</v>
      </c>
      <c r="B15" s="8">
        <v>45749</v>
      </c>
      <c r="C15" t="s">
        <v>632</v>
      </c>
      <c r="D15" t="s">
        <v>21</v>
      </c>
      <c r="E15" t="s">
        <v>607</v>
      </c>
      <c r="F15" t="s">
        <v>633</v>
      </c>
      <c r="G15" s="2">
        <v>1</v>
      </c>
      <c r="H15" s="2">
        <v>117</v>
      </c>
      <c r="I15" t="s">
        <v>11</v>
      </c>
      <c r="J15" s="9">
        <v>45749</v>
      </c>
      <c r="K15" t="str">
        <f t="shared" si="0"/>
        <v>SUBSCRIPTION</v>
      </c>
      <c r="L15" s="6"/>
    </row>
    <row r="16" spans="1:21" x14ac:dyDescent="0.25">
      <c r="A16" t="s">
        <v>634</v>
      </c>
      <c r="B16" s="8">
        <v>45749</v>
      </c>
      <c r="C16" t="s">
        <v>632</v>
      </c>
      <c r="D16" t="s">
        <v>18</v>
      </c>
      <c r="E16" t="s">
        <v>607</v>
      </c>
      <c r="F16" t="s">
        <v>952</v>
      </c>
      <c r="G16" s="2">
        <v>1</v>
      </c>
      <c r="H16" s="2">
        <v>99</v>
      </c>
      <c r="I16" t="s">
        <v>34</v>
      </c>
      <c r="J16" s="9">
        <v>45749</v>
      </c>
      <c r="K16" t="str">
        <f t="shared" si="0"/>
        <v>SUBSCRIPTION</v>
      </c>
      <c r="N16" s="28" t="s">
        <v>1358</v>
      </c>
      <c r="O16" s="28"/>
      <c r="S16" t="s">
        <v>1342</v>
      </c>
    </row>
    <row r="17" spans="1:23" x14ac:dyDescent="0.25">
      <c r="A17" t="s">
        <v>635</v>
      </c>
      <c r="B17" s="8">
        <v>45749</v>
      </c>
      <c r="C17" t="s">
        <v>632</v>
      </c>
      <c r="D17" t="s">
        <v>10</v>
      </c>
      <c r="E17" t="s">
        <v>607</v>
      </c>
      <c r="F17" t="s">
        <v>636</v>
      </c>
      <c r="G17" s="2">
        <v>1</v>
      </c>
      <c r="H17" s="2">
        <v>129</v>
      </c>
      <c r="I17" t="s">
        <v>11</v>
      </c>
      <c r="J17" s="9">
        <v>45749</v>
      </c>
      <c r="K17" t="str">
        <f t="shared" si="0"/>
        <v>SUBSCRIPTION</v>
      </c>
      <c r="N17" s="4" t="s">
        <v>363</v>
      </c>
      <c r="O17" t="s">
        <v>1338</v>
      </c>
    </row>
    <row r="18" spans="1:23" x14ac:dyDescent="0.25">
      <c r="A18" t="s">
        <v>637</v>
      </c>
      <c r="B18" s="8">
        <v>45749</v>
      </c>
      <c r="C18" t="s">
        <v>632</v>
      </c>
      <c r="D18" t="s">
        <v>18</v>
      </c>
      <c r="E18" t="s">
        <v>607</v>
      </c>
      <c r="F18" t="s">
        <v>949</v>
      </c>
      <c r="G18" s="2">
        <v>1</v>
      </c>
      <c r="H18" s="2">
        <v>112</v>
      </c>
      <c r="I18" t="s">
        <v>34</v>
      </c>
      <c r="J18" s="9">
        <v>45749</v>
      </c>
      <c r="K18" t="str">
        <f t="shared" si="0"/>
        <v>SUBSCRIPTION</v>
      </c>
      <c r="N18" s="11">
        <v>45748</v>
      </c>
      <c r="O18">
        <v>11</v>
      </c>
    </row>
    <row r="19" spans="1:23" x14ac:dyDescent="0.25">
      <c r="A19" t="s">
        <v>638</v>
      </c>
      <c r="B19" s="8">
        <v>45749</v>
      </c>
      <c r="C19" t="s">
        <v>632</v>
      </c>
      <c r="D19" t="s">
        <v>10</v>
      </c>
      <c r="E19" t="s">
        <v>607</v>
      </c>
      <c r="F19" t="s">
        <v>957</v>
      </c>
      <c r="G19" s="2">
        <v>1</v>
      </c>
      <c r="H19" s="2">
        <v>179</v>
      </c>
      <c r="I19" t="s">
        <v>34</v>
      </c>
      <c r="J19" s="9">
        <v>45749</v>
      </c>
      <c r="K19" t="str">
        <f t="shared" si="0"/>
        <v>SUBSCRIPTION</v>
      </c>
      <c r="N19" s="11">
        <v>45749</v>
      </c>
      <c r="O19">
        <v>11</v>
      </c>
    </row>
    <row r="20" spans="1:23" x14ac:dyDescent="0.25">
      <c r="A20" t="s">
        <v>639</v>
      </c>
      <c r="B20" s="8">
        <v>45749</v>
      </c>
      <c r="C20" t="s">
        <v>632</v>
      </c>
      <c r="D20" t="s">
        <v>21</v>
      </c>
      <c r="E20" t="s">
        <v>607</v>
      </c>
      <c r="F20" t="s">
        <v>1282</v>
      </c>
      <c r="G20" s="2">
        <v>2</v>
      </c>
      <c r="H20" s="2">
        <f>2*79</f>
        <v>158</v>
      </c>
      <c r="I20" t="s">
        <v>11</v>
      </c>
      <c r="J20" s="9">
        <v>45749</v>
      </c>
      <c r="K20" t="str">
        <f t="shared" si="0"/>
        <v>SUBSCRIPTION</v>
      </c>
      <c r="N20" s="11">
        <v>45750</v>
      </c>
      <c r="O20">
        <v>18</v>
      </c>
    </row>
    <row r="21" spans="1:23" ht="16.5" customHeight="1" x14ac:dyDescent="0.25">
      <c r="A21" t="s">
        <v>640</v>
      </c>
      <c r="B21" s="8">
        <v>45749</v>
      </c>
      <c r="C21" t="s">
        <v>632</v>
      </c>
      <c r="D21" t="s">
        <v>10</v>
      </c>
      <c r="E21" t="s">
        <v>607</v>
      </c>
      <c r="F21" t="s">
        <v>957</v>
      </c>
      <c r="G21" s="2">
        <v>1</v>
      </c>
      <c r="H21" s="2">
        <v>179</v>
      </c>
      <c r="I21" t="s">
        <v>34</v>
      </c>
      <c r="J21" s="9">
        <v>45749</v>
      </c>
      <c r="K21" t="str">
        <f t="shared" si="0"/>
        <v>SUBSCRIPTION</v>
      </c>
      <c r="N21" s="11">
        <v>45751</v>
      </c>
      <c r="O21">
        <v>18</v>
      </c>
    </row>
    <row r="22" spans="1:23" x14ac:dyDescent="0.25">
      <c r="A22" t="s">
        <v>641</v>
      </c>
      <c r="B22" s="8">
        <v>45749</v>
      </c>
      <c r="C22" t="s">
        <v>632</v>
      </c>
      <c r="D22" t="s">
        <v>21</v>
      </c>
      <c r="E22" t="s">
        <v>607</v>
      </c>
      <c r="F22" t="s">
        <v>642</v>
      </c>
      <c r="G22" s="2">
        <v>1</v>
      </c>
      <c r="H22" s="2">
        <v>129</v>
      </c>
      <c r="I22" t="s">
        <v>34</v>
      </c>
      <c r="J22" s="9">
        <v>45749</v>
      </c>
      <c r="K22" t="str">
        <f t="shared" si="0"/>
        <v>SUBSCRIPTION</v>
      </c>
      <c r="N22" s="11">
        <v>45752</v>
      </c>
      <c r="O22">
        <v>17</v>
      </c>
    </row>
    <row r="23" spans="1:23" x14ac:dyDescent="0.25">
      <c r="A23" t="s">
        <v>643</v>
      </c>
      <c r="B23" s="8">
        <v>45749</v>
      </c>
      <c r="C23" t="s">
        <v>632</v>
      </c>
      <c r="D23" t="s">
        <v>18</v>
      </c>
      <c r="E23" t="s">
        <v>607</v>
      </c>
      <c r="F23" t="s">
        <v>952</v>
      </c>
      <c r="G23" s="2">
        <v>1</v>
      </c>
      <c r="H23" s="2">
        <v>99</v>
      </c>
      <c r="I23" t="s">
        <v>34</v>
      </c>
      <c r="J23" s="9">
        <v>45749</v>
      </c>
      <c r="K23" t="str">
        <f t="shared" si="0"/>
        <v>SUBSCRIPTION</v>
      </c>
      <c r="N23" s="11">
        <v>45753</v>
      </c>
      <c r="O23">
        <v>20</v>
      </c>
    </row>
    <row r="24" spans="1:23" x14ac:dyDescent="0.25">
      <c r="A24" t="s">
        <v>644</v>
      </c>
      <c r="B24" s="8">
        <v>45749</v>
      </c>
      <c r="C24" t="s">
        <v>632</v>
      </c>
      <c r="D24" t="s">
        <v>10</v>
      </c>
      <c r="E24" t="s">
        <v>607</v>
      </c>
      <c r="F24" t="s">
        <v>957</v>
      </c>
      <c r="G24" s="2">
        <v>1</v>
      </c>
      <c r="H24" s="2">
        <v>179</v>
      </c>
      <c r="I24" t="s">
        <v>34</v>
      </c>
      <c r="J24" s="9">
        <v>45749</v>
      </c>
      <c r="K24" t="str">
        <f t="shared" si="0"/>
        <v>SUBSCRIPTION</v>
      </c>
      <c r="N24" s="11">
        <v>45754</v>
      </c>
      <c r="O24">
        <v>16</v>
      </c>
    </row>
    <row r="25" spans="1:23" ht="14.25" hidden="1" customHeight="1" x14ac:dyDescent="0.25">
      <c r="A25" t="s">
        <v>645</v>
      </c>
      <c r="B25" s="8">
        <v>45749</v>
      </c>
      <c r="C25" t="s">
        <v>632</v>
      </c>
      <c r="D25" t="s">
        <v>10</v>
      </c>
      <c r="E25" t="s">
        <v>623</v>
      </c>
      <c r="F25" t="s">
        <v>646</v>
      </c>
      <c r="G25" s="2">
        <v>2</v>
      </c>
      <c r="H25" s="2">
        <v>280</v>
      </c>
      <c r="I25" t="s">
        <v>11</v>
      </c>
      <c r="J25" s="9">
        <v>45749</v>
      </c>
      <c r="K25" t="str">
        <f t="shared" si="0"/>
        <v>REGULAR</v>
      </c>
      <c r="N25" s="11">
        <v>45755</v>
      </c>
      <c r="O25">
        <v>21</v>
      </c>
    </row>
    <row r="26" spans="1:23" ht="14.25" customHeight="1" x14ac:dyDescent="0.25">
      <c r="A26" t="s">
        <v>647</v>
      </c>
      <c r="B26" s="8">
        <v>45750</v>
      </c>
      <c r="C26" t="s">
        <v>648</v>
      </c>
      <c r="D26" t="s">
        <v>10</v>
      </c>
      <c r="E26" t="s">
        <v>607</v>
      </c>
      <c r="F26" t="s">
        <v>649</v>
      </c>
      <c r="G26" s="2">
        <v>1</v>
      </c>
      <c r="H26" s="2">
        <v>129</v>
      </c>
      <c r="I26" t="s">
        <v>11</v>
      </c>
      <c r="J26" s="9">
        <v>45750</v>
      </c>
      <c r="K26" t="str">
        <f t="shared" si="0"/>
        <v>SUBSCRIPTION</v>
      </c>
      <c r="N26" s="11">
        <v>45756</v>
      </c>
      <c r="O26">
        <v>19</v>
      </c>
    </row>
    <row r="27" spans="1:23" x14ac:dyDescent="0.25">
      <c r="A27" t="s">
        <v>650</v>
      </c>
      <c r="B27" s="8">
        <v>45750</v>
      </c>
      <c r="C27" t="s">
        <v>648</v>
      </c>
      <c r="D27" t="s">
        <v>18</v>
      </c>
      <c r="E27" t="s">
        <v>607</v>
      </c>
      <c r="F27" t="s">
        <v>651</v>
      </c>
      <c r="G27" s="2">
        <v>1</v>
      </c>
      <c r="H27" s="2">
        <v>117</v>
      </c>
      <c r="I27" t="s">
        <v>11</v>
      </c>
      <c r="J27" s="9">
        <v>45750</v>
      </c>
      <c r="K27" t="str">
        <f t="shared" si="0"/>
        <v>SUBSCRIPTION</v>
      </c>
      <c r="N27" s="11">
        <v>45757</v>
      </c>
      <c r="O27">
        <v>15</v>
      </c>
    </row>
    <row r="28" spans="1:23" x14ac:dyDescent="0.25">
      <c r="A28" t="s">
        <v>652</v>
      </c>
      <c r="B28" s="8">
        <v>45750</v>
      </c>
      <c r="C28" t="s">
        <v>648</v>
      </c>
      <c r="D28" t="s">
        <v>21</v>
      </c>
      <c r="E28" t="s">
        <v>607</v>
      </c>
      <c r="F28" t="s">
        <v>653</v>
      </c>
      <c r="G28" s="2">
        <v>1</v>
      </c>
      <c r="H28" s="2">
        <v>79</v>
      </c>
      <c r="I28" t="s">
        <v>11</v>
      </c>
      <c r="J28" s="9">
        <v>45750</v>
      </c>
      <c r="K28" t="str">
        <f t="shared" si="0"/>
        <v>SUBSCRIPTION</v>
      </c>
      <c r="N28" s="11">
        <v>45758</v>
      </c>
      <c r="O28">
        <v>9</v>
      </c>
    </row>
    <row r="29" spans="1:23" x14ac:dyDescent="0.25">
      <c r="A29" t="s">
        <v>654</v>
      </c>
      <c r="B29" s="8">
        <v>45750</v>
      </c>
      <c r="C29" t="s">
        <v>648</v>
      </c>
      <c r="D29" t="s">
        <v>10</v>
      </c>
      <c r="E29" t="s">
        <v>607</v>
      </c>
      <c r="F29" t="s">
        <v>820</v>
      </c>
      <c r="G29" s="2">
        <v>1</v>
      </c>
      <c r="H29" s="2">
        <v>99</v>
      </c>
      <c r="I29" t="s">
        <v>34</v>
      </c>
      <c r="J29" s="9">
        <v>45750</v>
      </c>
      <c r="K29" t="str">
        <f t="shared" si="0"/>
        <v>SUBSCRIPTION</v>
      </c>
      <c r="N29" s="11">
        <v>45759</v>
      </c>
      <c r="O29">
        <v>12</v>
      </c>
    </row>
    <row r="30" spans="1:23" x14ac:dyDescent="0.25">
      <c r="A30" t="s">
        <v>655</v>
      </c>
      <c r="B30" s="8">
        <v>45750</v>
      </c>
      <c r="C30" t="s">
        <v>648</v>
      </c>
      <c r="D30" t="s">
        <v>21</v>
      </c>
      <c r="E30" t="s">
        <v>607</v>
      </c>
      <c r="F30" t="s">
        <v>656</v>
      </c>
      <c r="G30" s="2">
        <v>2</v>
      </c>
      <c r="H30" s="2">
        <f>2*79</f>
        <v>158</v>
      </c>
      <c r="I30" t="s">
        <v>11</v>
      </c>
      <c r="J30" s="9">
        <v>45750</v>
      </c>
      <c r="K30" t="str">
        <f t="shared" si="0"/>
        <v>SUBSCRIPTION</v>
      </c>
      <c r="N30" s="11">
        <v>45760</v>
      </c>
      <c r="O30">
        <v>13</v>
      </c>
      <c r="V30" s="28" t="s">
        <v>748</v>
      </c>
      <c r="W30" s="28"/>
    </row>
    <row r="31" spans="1:23" x14ac:dyDescent="0.25">
      <c r="A31" t="s">
        <v>657</v>
      </c>
      <c r="B31" s="8">
        <v>45750</v>
      </c>
      <c r="C31" t="s">
        <v>648</v>
      </c>
      <c r="D31" t="s">
        <v>18</v>
      </c>
      <c r="E31" t="s">
        <v>607</v>
      </c>
      <c r="F31" t="s">
        <v>658</v>
      </c>
      <c r="G31" s="2">
        <v>1</v>
      </c>
      <c r="H31" s="2">
        <v>149</v>
      </c>
      <c r="I31" t="s">
        <v>34</v>
      </c>
      <c r="J31" s="9">
        <v>45750</v>
      </c>
      <c r="K31" t="str">
        <f t="shared" si="0"/>
        <v>SUBSCRIPTION</v>
      </c>
      <c r="N31" s="11">
        <v>45761</v>
      </c>
      <c r="O31">
        <v>8</v>
      </c>
    </row>
    <row r="32" spans="1:23" x14ac:dyDescent="0.25">
      <c r="A32" t="s">
        <v>659</v>
      </c>
      <c r="B32" s="8">
        <v>45750</v>
      </c>
      <c r="C32" t="s">
        <v>648</v>
      </c>
      <c r="D32" t="s">
        <v>10</v>
      </c>
      <c r="E32" t="s">
        <v>607</v>
      </c>
      <c r="F32" t="s">
        <v>820</v>
      </c>
      <c r="G32" s="2">
        <v>1</v>
      </c>
      <c r="H32" s="2">
        <v>99</v>
      </c>
      <c r="I32" t="s">
        <v>34</v>
      </c>
      <c r="J32" s="9">
        <v>45750</v>
      </c>
      <c r="K32" t="str">
        <f t="shared" si="0"/>
        <v>SUBSCRIPTION</v>
      </c>
      <c r="N32" s="11">
        <v>45762</v>
      </c>
      <c r="O32">
        <v>13</v>
      </c>
    </row>
    <row r="33" spans="1:15" x14ac:dyDescent="0.25">
      <c r="A33" t="s">
        <v>660</v>
      </c>
      <c r="B33" s="8">
        <v>45750</v>
      </c>
      <c r="C33" t="s">
        <v>648</v>
      </c>
      <c r="D33" t="s">
        <v>18</v>
      </c>
      <c r="E33" t="s">
        <v>607</v>
      </c>
      <c r="F33" t="s">
        <v>658</v>
      </c>
      <c r="G33" s="2">
        <v>1</v>
      </c>
      <c r="H33" s="2">
        <v>149</v>
      </c>
      <c r="I33" t="s">
        <v>34</v>
      </c>
      <c r="J33" s="9">
        <v>45750</v>
      </c>
      <c r="K33" t="str">
        <f t="shared" si="0"/>
        <v>SUBSCRIPTION</v>
      </c>
      <c r="N33" s="11">
        <v>45763</v>
      </c>
      <c r="O33">
        <v>15</v>
      </c>
    </row>
    <row r="34" spans="1:15" x14ac:dyDescent="0.25">
      <c r="A34" t="s">
        <v>661</v>
      </c>
      <c r="B34" s="8">
        <v>45750</v>
      </c>
      <c r="C34" t="s">
        <v>648</v>
      </c>
      <c r="D34" t="s">
        <v>10</v>
      </c>
      <c r="E34" t="s">
        <v>607</v>
      </c>
      <c r="F34" t="s">
        <v>662</v>
      </c>
      <c r="G34" s="2">
        <v>1</v>
      </c>
      <c r="H34" s="2">
        <v>129</v>
      </c>
      <c r="I34" t="s">
        <v>11</v>
      </c>
      <c r="J34" s="9">
        <v>45750</v>
      </c>
      <c r="K34" t="str">
        <f t="shared" si="0"/>
        <v>SUBSCRIPTION</v>
      </c>
      <c r="N34" s="11">
        <v>45764</v>
      </c>
      <c r="O34">
        <v>13</v>
      </c>
    </row>
    <row r="35" spans="1:15" x14ac:dyDescent="0.25">
      <c r="A35" t="s">
        <v>663</v>
      </c>
      <c r="B35" s="8">
        <v>45750</v>
      </c>
      <c r="C35" t="s">
        <v>648</v>
      </c>
      <c r="D35" t="s">
        <v>21</v>
      </c>
      <c r="E35" t="s">
        <v>607</v>
      </c>
      <c r="F35" t="s">
        <v>1337</v>
      </c>
      <c r="G35" s="2">
        <v>1</v>
      </c>
      <c r="H35" s="2">
        <v>117</v>
      </c>
      <c r="I35" t="s">
        <v>34</v>
      </c>
      <c r="J35" s="9">
        <v>45750</v>
      </c>
      <c r="K35" t="str">
        <f t="shared" si="0"/>
        <v>SUBSCRIPTION</v>
      </c>
      <c r="N35" s="11">
        <v>45765</v>
      </c>
      <c r="O35">
        <v>16</v>
      </c>
    </row>
    <row r="36" spans="1:15" x14ac:dyDescent="0.25">
      <c r="A36" t="s">
        <v>664</v>
      </c>
      <c r="B36" s="8">
        <v>45750</v>
      </c>
      <c r="C36" t="s">
        <v>648</v>
      </c>
      <c r="D36" t="s">
        <v>10</v>
      </c>
      <c r="E36" t="s">
        <v>607</v>
      </c>
      <c r="F36" t="s">
        <v>665</v>
      </c>
      <c r="G36" s="2">
        <v>1</v>
      </c>
      <c r="H36" s="2">
        <v>129</v>
      </c>
      <c r="I36" t="s">
        <v>34</v>
      </c>
      <c r="J36" s="9">
        <v>45750</v>
      </c>
      <c r="K36" t="str">
        <f t="shared" si="0"/>
        <v>SUBSCRIPTION</v>
      </c>
      <c r="N36" s="11">
        <v>45766</v>
      </c>
      <c r="O36">
        <v>16</v>
      </c>
    </row>
    <row r="37" spans="1:15" hidden="1" x14ac:dyDescent="0.25">
      <c r="A37" t="s">
        <v>666</v>
      </c>
      <c r="B37" s="8">
        <v>45750</v>
      </c>
      <c r="C37" t="s">
        <v>648</v>
      </c>
      <c r="D37" t="s">
        <v>10</v>
      </c>
      <c r="E37" t="s">
        <v>623</v>
      </c>
      <c r="F37" t="s">
        <v>667</v>
      </c>
      <c r="G37" s="2">
        <v>2</v>
      </c>
      <c r="H37" s="2">
        <v>160</v>
      </c>
      <c r="I37" t="s">
        <v>11</v>
      </c>
      <c r="J37" s="9">
        <v>45750</v>
      </c>
      <c r="K37" t="str">
        <f t="shared" si="0"/>
        <v>REGULAR</v>
      </c>
      <c r="N37" s="11">
        <v>45767</v>
      </c>
      <c r="O37">
        <v>14</v>
      </c>
    </row>
    <row r="38" spans="1:15" hidden="1" x14ac:dyDescent="0.25">
      <c r="A38" t="s">
        <v>668</v>
      </c>
      <c r="B38" s="8">
        <v>45750</v>
      </c>
      <c r="C38" t="s">
        <v>648</v>
      </c>
      <c r="D38" t="s">
        <v>10</v>
      </c>
      <c r="E38" t="s">
        <v>623</v>
      </c>
      <c r="F38" t="s">
        <v>452</v>
      </c>
      <c r="G38" s="2">
        <v>1</v>
      </c>
      <c r="H38" s="2">
        <v>190</v>
      </c>
      <c r="I38" t="s">
        <v>11</v>
      </c>
      <c r="J38" s="9">
        <v>45750</v>
      </c>
      <c r="K38" t="str">
        <f t="shared" si="0"/>
        <v>REGULAR</v>
      </c>
      <c r="N38" s="11">
        <v>45768</v>
      </c>
      <c r="O38">
        <v>5</v>
      </c>
    </row>
    <row r="39" spans="1:15" hidden="1" x14ac:dyDescent="0.25">
      <c r="F39" t="s">
        <v>492</v>
      </c>
      <c r="G39" s="2">
        <v>1</v>
      </c>
      <c r="I39" t="s">
        <v>11</v>
      </c>
      <c r="J39" s="9">
        <f>J38</f>
        <v>45750</v>
      </c>
      <c r="K39" t="str">
        <f t="shared" si="0"/>
        <v>REGULAR</v>
      </c>
      <c r="N39" s="11">
        <v>45769</v>
      </c>
      <c r="O39">
        <v>10</v>
      </c>
    </row>
    <row r="40" spans="1:15" hidden="1" x14ac:dyDescent="0.25">
      <c r="F40" t="s">
        <v>491</v>
      </c>
      <c r="G40" s="2">
        <v>1</v>
      </c>
      <c r="I40" t="s">
        <v>11</v>
      </c>
      <c r="J40" s="9">
        <f>J39</f>
        <v>45750</v>
      </c>
      <c r="K40" t="str">
        <f t="shared" si="0"/>
        <v>REGULAR</v>
      </c>
      <c r="N40" s="11">
        <v>45770</v>
      </c>
      <c r="O40">
        <v>12</v>
      </c>
    </row>
    <row r="41" spans="1:15" hidden="1" x14ac:dyDescent="0.25">
      <c r="A41" t="s">
        <v>669</v>
      </c>
      <c r="B41" s="8">
        <v>45750</v>
      </c>
      <c r="C41" t="s">
        <v>648</v>
      </c>
      <c r="D41" t="s">
        <v>10</v>
      </c>
      <c r="E41" t="s">
        <v>623</v>
      </c>
      <c r="F41" t="s">
        <v>465</v>
      </c>
      <c r="G41" s="2">
        <v>1</v>
      </c>
      <c r="H41" s="2">
        <v>190</v>
      </c>
      <c r="I41" t="s">
        <v>34</v>
      </c>
      <c r="J41" s="9">
        <v>45750</v>
      </c>
      <c r="K41" t="str">
        <f t="shared" si="0"/>
        <v>REGULAR</v>
      </c>
      <c r="N41" s="11">
        <v>45771</v>
      </c>
      <c r="O41">
        <v>13</v>
      </c>
    </row>
    <row r="42" spans="1:15" hidden="1" x14ac:dyDescent="0.25">
      <c r="A42" t="s">
        <v>670</v>
      </c>
      <c r="B42" s="8">
        <v>45750</v>
      </c>
      <c r="C42" t="s">
        <v>648</v>
      </c>
      <c r="D42" t="s">
        <v>10</v>
      </c>
      <c r="E42" t="s">
        <v>623</v>
      </c>
      <c r="F42" t="s">
        <v>438</v>
      </c>
      <c r="G42" s="2">
        <v>1</v>
      </c>
      <c r="H42" s="2">
        <v>280</v>
      </c>
      <c r="I42" t="s">
        <v>34</v>
      </c>
      <c r="J42" s="9">
        <v>45750</v>
      </c>
      <c r="K42" t="str">
        <f t="shared" si="0"/>
        <v>REGULAR</v>
      </c>
      <c r="N42" s="11">
        <v>45772</v>
      </c>
      <c r="O42">
        <v>7</v>
      </c>
    </row>
    <row r="43" spans="1:15" hidden="1" x14ac:dyDescent="0.25">
      <c r="A43" t="s">
        <v>671</v>
      </c>
      <c r="B43" s="8">
        <v>45750</v>
      </c>
      <c r="C43" t="s">
        <v>648</v>
      </c>
      <c r="D43" t="s">
        <v>10</v>
      </c>
      <c r="E43" t="s">
        <v>623</v>
      </c>
      <c r="F43" t="s">
        <v>672</v>
      </c>
      <c r="G43" s="2">
        <v>1</v>
      </c>
      <c r="H43" s="2">
        <v>350</v>
      </c>
      <c r="I43" t="s">
        <v>11</v>
      </c>
      <c r="J43" s="9">
        <v>45750</v>
      </c>
      <c r="K43" t="str">
        <f t="shared" si="0"/>
        <v>REGULAR</v>
      </c>
      <c r="N43" s="11">
        <v>45773</v>
      </c>
      <c r="O43">
        <v>14</v>
      </c>
    </row>
    <row r="44" spans="1:15" hidden="1" x14ac:dyDescent="0.25">
      <c r="F44" t="s">
        <v>430</v>
      </c>
      <c r="G44" s="2">
        <v>1</v>
      </c>
      <c r="I44" t="s">
        <v>11</v>
      </c>
      <c r="J44" s="9">
        <f>J43</f>
        <v>45750</v>
      </c>
      <c r="K44" t="str">
        <f t="shared" si="0"/>
        <v>REGULAR</v>
      </c>
      <c r="N44" s="11">
        <v>45774</v>
      </c>
      <c r="O44">
        <v>11</v>
      </c>
    </row>
    <row r="45" spans="1:15" hidden="1" x14ac:dyDescent="0.25">
      <c r="F45" t="s">
        <v>673</v>
      </c>
      <c r="G45" s="2">
        <v>1</v>
      </c>
      <c r="I45" t="s">
        <v>11</v>
      </c>
      <c r="J45" s="9">
        <f>J44</f>
        <v>45750</v>
      </c>
      <c r="K45" t="str">
        <f t="shared" si="0"/>
        <v>REGULAR</v>
      </c>
      <c r="N45" s="11">
        <v>45775</v>
      </c>
      <c r="O45">
        <v>13</v>
      </c>
    </row>
    <row r="46" spans="1:15" hidden="1" x14ac:dyDescent="0.25">
      <c r="A46" t="s">
        <v>674</v>
      </c>
      <c r="B46" s="8">
        <v>45750</v>
      </c>
      <c r="C46" t="s">
        <v>648</v>
      </c>
      <c r="D46" t="s">
        <v>10</v>
      </c>
      <c r="E46" t="s">
        <v>623</v>
      </c>
      <c r="F46" t="s">
        <v>675</v>
      </c>
      <c r="G46" s="2">
        <v>1</v>
      </c>
      <c r="H46" s="2">
        <v>240</v>
      </c>
      <c r="I46" t="s">
        <v>11</v>
      </c>
      <c r="J46" s="9">
        <v>45750</v>
      </c>
      <c r="K46" t="str">
        <f t="shared" si="0"/>
        <v>REGULAR</v>
      </c>
      <c r="N46" s="11">
        <v>45776</v>
      </c>
      <c r="O46">
        <v>13</v>
      </c>
    </row>
    <row r="47" spans="1:15" hidden="1" x14ac:dyDescent="0.25">
      <c r="F47" t="s">
        <v>395</v>
      </c>
      <c r="G47" s="2">
        <v>1</v>
      </c>
      <c r="I47" t="s">
        <v>34</v>
      </c>
      <c r="J47" s="9">
        <f>J46</f>
        <v>45750</v>
      </c>
      <c r="K47" t="str">
        <f t="shared" si="0"/>
        <v>REGULAR</v>
      </c>
      <c r="N47" s="11">
        <v>45778</v>
      </c>
      <c r="O47">
        <v>15</v>
      </c>
    </row>
    <row r="48" spans="1:15" hidden="1" x14ac:dyDescent="0.25">
      <c r="A48" t="s">
        <v>676</v>
      </c>
      <c r="B48" s="8">
        <v>45750</v>
      </c>
      <c r="C48" t="s">
        <v>648</v>
      </c>
      <c r="D48" t="s">
        <v>10</v>
      </c>
      <c r="E48" t="s">
        <v>623</v>
      </c>
      <c r="F48" t="s">
        <v>646</v>
      </c>
      <c r="G48" s="2">
        <v>2</v>
      </c>
      <c r="H48" s="2">
        <v>280</v>
      </c>
      <c r="I48" t="s">
        <v>11</v>
      </c>
      <c r="J48" s="9">
        <v>45750</v>
      </c>
      <c r="K48" t="str">
        <f t="shared" si="0"/>
        <v>REGULAR</v>
      </c>
      <c r="N48" s="11">
        <v>45779</v>
      </c>
      <c r="O48">
        <v>15</v>
      </c>
    </row>
    <row r="49" spans="1:15" x14ac:dyDescent="0.25">
      <c r="A49" t="s">
        <v>677</v>
      </c>
      <c r="B49" s="8">
        <v>45751</v>
      </c>
      <c r="C49" t="s">
        <v>678</v>
      </c>
      <c r="D49" t="s">
        <v>18</v>
      </c>
      <c r="E49" t="s">
        <v>607</v>
      </c>
      <c r="F49" t="s">
        <v>993</v>
      </c>
      <c r="G49" s="2">
        <v>1</v>
      </c>
      <c r="H49" s="2">
        <v>99</v>
      </c>
      <c r="I49" t="s">
        <v>11</v>
      </c>
      <c r="J49" s="9">
        <v>45751</v>
      </c>
      <c r="K49" t="str">
        <f t="shared" si="0"/>
        <v>SUBSCRIPTION</v>
      </c>
      <c r="N49" s="11">
        <v>45780</v>
      </c>
      <c r="O49">
        <v>2</v>
      </c>
    </row>
    <row r="50" spans="1:15" x14ac:dyDescent="0.25">
      <c r="A50" t="s">
        <v>679</v>
      </c>
      <c r="B50" s="8">
        <v>45751</v>
      </c>
      <c r="C50" t="s">
        <v>678</v>
      </c>
      <c r="D50" t="s">
        <v>21</v>
      </c>
      <c r="E50" t="s">
        <v>607</v>
      </c>
      <c r="F50" t="s">
        <v>680</v>
      </c>
      <c r="G50" s="2">
        <v>1</v>
      </c>
      <c r="H50" s="2">
        <v>99</v>
      </c>
      <c r="I50" t="s">
        <v>11</v>
      </c>
      <c r="J50" s="9">
        <v>45751</v>
      </c>
      <c r="K50" t="str">
        <f t="shared" si="0"/>
        <v>SUBSCRIPTION</v>
      </c>
      <c r="N50" s="11">
        <v>45781</v>
      </c>
      <c r="O50">
        <v>1</v>
      </c>
    </row>
    <row r="51" spans="1:15" x14ac:dyDescent="0.25">
      <c r="A51" t="s">
        <v>681</v>
      </c>
      <c r="B51" s="8">
        <v>45751</v>
      </c>
      <c r="C51" t="s">
        <v>678</v>
      </c>
      <c r="D51" t="s">
        <v>10</v>
      </c>
      <c r="E51" t="s">
        <v>607</v>
      </c>
      <c r="F51" t="s">
        <v>682</v>
      </c>
      <c r="G51" s="2">
        <v>1</v>
      </c>
      <c r="H51" s="2">
        <v>129</v>
      </c>
      <c r="I51" t="s">
        <v>11</v>
      </c>
      <c r="J51" s="9">
        <v>45751</v>
      </c>
      <c r="K51" t="str">
        <f t="shared" si="0"/>
        <v>SUBSCRIPTION</v>
      </c>
      <c r="N51" s="11">
        <v>45782</v>
      </c>
      <c r="O51">
        <v>2</v>
      </c>
    </row>
    <row r="52" spans="1:15" x14ac:dyDescent="0.25">
      <c r="A52" t="s">
        <v>683</v>
      </c>
      <c r="B52" s="8">
        <v>45751</v>
      </c>
      <c r="C52" t="s">
        <v>678</v>
      </c>
      <c r="D52" t="s">
        <v>18</v>
      </c>
      <c r="E52" t="s">
        <v>607</v>
      </c>
      <c r="F52" t="s">
        <v>1084</v>
      </c>
      <c r="G52" s="2">
        <v>1</v>
      </c>
      <c r="H52" s="2">
        <v>129</v>
      </c>
      <c r="I52" t="s">
        <v>34</v>
      </c>
      <c r="J52" s="9">
        <v>45751</v>
      </c>
      <c r="K52" t="str">
        <f t="shared" si="0"/>
        <v>SUBSCRIPTION</v>
      </c>
      <c r="N52" s="11">
        <v>45783</v>
      </c>
      <c r="O52">
        <v>6</v>
      </c>
    </row>
    <row r="53" spans="1:15" x14ac:dyDescent="0.25">
      <c r="A53" t="s">
        <v>684</v>
      </c>
      <c r="B53" s="8">
        <v>45751</v>
      </c>
      <c r="C53" t="s">
        <v>678</v>
      </c>
      <c r="D53" t="s">
        <v>10</v>
      </c>
      <c r="E53" t="s">
        <v>607</v>
      </c>
      <c r="F53" t="s">
        <v>882</v>
      </c>
      <c r="G53" s="2">
        <v>1</v>
      </c>
      <c r="H53" s="2">
        <v>129</v>
      </c>
      <c r="I53" t="s">
        <v>11</v>
      </c>
      <c r="J53" s="9">
        <v>45751</v>
      </c>
      <c r="K53" t="str">
        <f t="shared" si="0"/>
        <v>SUBSCRIPTION</v>
      </c>
      <c r="N53" s="11">
        <v>45784</v>
      </c>
      <c r="O53">
        <v>8</v>
      </c>
    </row>
    <row r="54" spans="1:15" x14ac:dyDescent="0.25">
      <c r="A54" t="s">
        <v>685</v>
      </c>
      <c r="B54" s="8">
        <v>45751</v>
      </c>
      <c r="C54" t="s">
        <v>678</v>
      </c>
      <c r="D54" t="s">
        <v>18</v>
      </c>
      <c r="E54" t="s">
        <v>607</v>
      </c>
      <c r="F54" t="s">
        <v>993</v>
      </c>
      <c r="G54" s="2">
        <v>1</v>
      </c>
      <c r="H54" s="2">
        <v>99</v>
      </c>
      <c r="I54" t="s">
        <v>34</v>
      </c>
      <c r="J54" s="9">
        <v>45751</v>
      </c>
      <c r="K54" t="str">
        <f t="shared" si="0"/>
        <v>SUBSCRIPTION</v>
      </c>
      <c r="N54" s="11">
        <v>45785</v>
      </c>
      <c r="O54">
        <v>10</v>
      </c>
    </row>
    <row r="55" spans="1:15" x14ac:dyDescent="0.25">
      <c r="A55" t="s">
        <v>686</v>
      </c>
      <c r="B55" s="8">
        <v>45751</v>
      </c>
      <c r="C55" t="s">
        <v>678</v>
      </c>
      <c r="D55" t="s">
        <v>10</v>
      </c>
      <c r="E55" t="s">
        <v>607</v>
      </c>
      <c r="F55" t="s">
        <v>1212</v>
      </c>
      <c r="G55" s="2">
        <v>1</v>
      </c>
      <c r="H55" s="2">
        <v>129</v>
      </c>
      <c r="I55" t="s">
        <v>34</v>
      </c>
      <c r="J55" s="9">
        <v>45751</v>
      </c>
      <c r="K55" t="str">
        <f t="shared" si="0"/>
        <v>SUBSCRIPTION</v>
      </c>
      <c r="N55" s="11">
        <v>45786</v>
      </c>
      <c r="O55">
        <v>13</v>
      </c>
    </row>
    <row r="56" spans="1:15" x14ac:dyDescent="0.25">
      <c r="A56" t="s">
        <v>688</v>
      </c>
      <c r="B56" s="8">
        <v>45751</v>
      </c>
      <c r="C56" t="s">
        <v>678</v>
      </c>
      <c r="D56" t="s">
        <v>21</v>
      </c>
      <c r="E56" t="s">
        <v>607</v>
      </c>
      <c r="F56" t="s">
        <v>680</v>
      </c>
      <c r="G56" s="2">
        <v>1</v>
      </c>
      <c r="H56" s="2">
        <v>99</v>
      </c>
      <c r="I56" t="s">
        <v>11</v>
      </c>
      <c r="J56" s="9">
        <v>45751</v>
      </c>
      <c r="K56" t="str">
        <f t="shared" si="0"/>
        <v>SUBSCRIPTION</v>
      </c>
      <c r="N56" s="11">
        <v>45787</v>
      </c>
      <c r="O56">
        <v>11</v>
      </c>
    </row>
    <row r="57" spans="1:15" x14ac:dyDescent="0.25">
      <c r="A57" t="s">
        <v>689</v>
      </c>
      <c r="B57" s="8">
        <v>45751</v>
      </c>
      <c r="C57" t="s">
        <v>678</v>
      </c>
      <c r="D57" t="s">
        <v>21</v>
      </c>
      <c r="E57" t="s">
        <v>607</v>
      </c>
      <c r="F57" t="s">
        <v>1323</v>
      </c>
      <c r="G57" s="2">
        <v>2</v>
      </c>
      <c r="H57" s="2">
        <f>2*99</f>
        <v>198</v>
      </c>
      <c r="I57" t="s">
        <v>11</v>
      </c>
      <c r="J57" s="9">
        <v>45751</v>
      </c>
      <c r="K57" t="str">
        <f t="shared" si="0"/>
        <v>SUBSCRIPTION</v>
      </c>
      <c r="N57" s="11">
        <v>45788</v>
      </c>
      <c r="O57">
        <v>12</v>
      </c>
    </row>
    <row r="58" spans="1:15" x14ac:dyDescent="0.25">
      <c r="A58" t="s">
        <v>690</v>
      </c>
      <c r="B58" s="8">
        <v>45751</v>
      </c>
      <c r="C58" t="s">
        <v>678</v>
      </c>
      <c r="D58" t="s">
        <v>10</v>
      </c>
      <c r="E58" t="s">
        <v>607</v>
      </c>
      <c r="F58" t="s">
        <v>988</v>
      </c>
      <c r="G58" s="2">
        <v>1</v>
      </c>
      <c r="H58" s="2">
        <v>129</v>
      </c>
      <c r="I58" t="s">
        <v>34</v>
      </c>
      <c r="J58" s="9">
        <v>45751</v>
      </c>
      <c r="K58" t="str">
        <f t="shared" si="0"/>
        <v>SUBSCRIPTION</v>
      </c>
      <c r="N58" s="11">
        <v>45789</v>
      </c>
      <c r="O58">
        <v>12</v>
      </c>
    </row>
    <row r="59" spans="1:15" x14ac:dyDescent="0.25">
      <c r="A59" t="s">
        <v>691</v>
      </c>
      <c r="B59" s="8">
        <v>45751</v>
      </c>
      <c r="C59" t="s">
        <v>678</v>
      </c>
      <c r="D59" t="s">
        <v>10</v>
      </c>
      <c r="E59" t="s">
        <v>607</v>
      </c>
      <c r="F59" t="s">
        <v>988</v>
      </c>
      <c r="G59" s="2">
        <v>2</v>
      </c>
      <c r="H59" s="2">
        <f>2*129</f>
        <v>258</v>
      </c>
      <c r="I59" t="s">
        <v>34</v>
      </c>
      <c r="J59" s="9">
        <v>45751</v>
      </c>
      <c r="K59" t="str">
        <f t="shared" si="0"/>
        <v>SUBSCRIPTION</v>
      </c>
      <c r="N59" s="11">
        <v>45790</v>
      </c>
      <c r="O59">
        <v>18</v>
      </c>
    </row>
    <row r="60" spans="1:15" hidden="1" x14ac:dyDescent="0.25">
      <c r="A60" t="s">
        <v>692</v>
      </c>
      <c r="B60" s="8">
        <v>45751</v>
      </c>
      <c r="C60" t="s">
        <v>678</v>
      </c>
      <c r="D60" t="s">
        <v>10</v>
      </c>
      <c r="E60" t="s">
        <v>623</v>
      </c>
      <c r="F60" t="s">
        <v>428</v>
      </c>
      <c r="G60" s="2">
        <v>1</v>
      </c>
      <c r="H60" s="2">
        <v>180</v>
      </c>
      <c r="I60" t="s">
        <v>11</v>
      </c>
      <c r="J60" s="9">
        <v>45751</v>
      </c>
      <c r="K60" t="str">
        <f t="shared" si="0"/>
        <v>REGULAR</v>
      </c>
      <c r="N60" s="11">
        <v>45791</v>
      </c>
      <c r="O60">
        <v>18</v>
      </c>
    </row>
    <row r="61" spans="1:15" hidden="1" x14ac:dyDescent="0.25">
      <c r="F61" t="s">
        <v>404</v>
      </c>
      <c r="G61" s="2">
        <v>1</v>
      </c>
      <c r="I61" t="s">
        <v>34</v>
      </c>
      <c r="J61" s="9">
        <f>J60</f>
        <v>45751</v>
      </c>
      <c r="K61" t="str">
        <f t="shared" si="0"/>
        <v>REGULAR</v>
      </c>
      <c r="N61" s="11">
        <v>45792</v>
      </c>
      <c r="O61">
        <v>16</v>
      </c>
    </row>
    <row r="62" spans="1:15" hidden="1" x14ac:dyDescent="0.25">
      <c r="A62" t="s">
        <v>693</v>
      </c>
      <c r="B62" s="8">
        <v>45751</v>
      </c>
      <c r="C62" t="s">
        <v>678</v>
      </c>
      <c r="D62" t="s">
        <v>10</v>
      </c>
      <c r="E62" t="s">
        <v>623</v>
      </c>
      <c r="F62" t="s">
        <v>646</v>
      </c>
      <c r="G62" s="2">
        <v>2</v>
      </c>
      <c r="H62" s="2">
        <v>280</v>
      </c>
      <c r="I62" t="s">
        <v>11</v>
      </c>
      <c r="J62" s="9">
        <v>45751</v>
      </c>
      <c r="K62" t="str">
        <f t="shared" si="0"/>
        <v>REGULAR</v>
      </c>
      <c r="N62" s="11">
        <v>45793</v>
      </c>
      <c r="O62">
        <v>12</v>
      </c>
    </row>
    <row r="63" spans="1:15" hidden="1" x14ac:dyDescent="0.25">
      <c r="A63" t="s">
        <v>694</v>
      </c>
      <c r="B63" s="8">
        <v>45751</v>
      </c>
      <c r="C63" t="s">
        <v>678</v>
      </c>
      <c r="D63" t="s">
        <v>10</v>
      </c>
      <c r="E63" t="s">
        <v>623</v>
      </c>
      <c r="F63" t="s">
        <v>405</v>
      </c>
      <c r="G63" s="2">
        <v>1</v>
      </c>
      <c r="H63" s="2">
        <v>240</v>
      </c>
      <c r="I63" t="s">
        <v>34</v>
      </c>
      <c r="J63" s="9">
        <v>45751</v>
      </c>
      <c r="K63" t="str">
        <f t="shared" si="0"/>
        <v>REGULAR</v>
      </c>
      <c r="N63" s="11">
        <v>45794</v>
      </c>
      <c r="O63">
        <v>1</v>
      </c>
    </row>
    <row r="64" spans="1:15" hidden="1" x14ac:dyDescent="0.25">
      <c r="F64" t="s">
        <v>695</v>
      </c>
      <c r="G64" s="2">
        <v>1</v>
      </c>
      <c r="I64" t="s">
        <v>11</v>
      </c>
      <c r="J64" s="9">
        <f>J63</f>
        <v>45751</v>
      </c>
      <c r="K64" t="str">
        <f t="shared" si="0"/>
        <v>REGULAR</v>
      </c>
      <c r="N64" s="11">
        <v>45795</v>
      </c>
      <c r="O64">
        <v>1</v>
      </c>
    </row>
    <row r="65" spans="1:16" hidden="1" x14ac:dyDescent="0.25">
      <c r="A65" t="s">
        <v>696</v>
      </c>
      <c r="B65" s="8">
        <v>45751</v>
      </c>
      <c r="C65" t="s">
        <v>678</v>
      </c>
      <c r="D65" t="s">
        <v>10</v>
      </c>
      <c r="E65" t="s">
        <v>623</v>
      </c>
      <c r="F65" t="s">
        <v>697</v>
      </c>
      <c r="G65" s="2">
        <v>1</v>
      </c>
      <c r="H65" s="2">
        <v>949</v>
      </c>
      <c r="I65" t="s">
        <v>34</v>
      </c>
      <c r="J65" s="9">
        <v>45751</v>
      </c>
      <c r="K65" t="str">
        <f t="shared" si="0"/>
        <v>REGULAR</v>
      </c>
      <c r="N65" s="11">
        <v>45803</v>
      </c>
      <c r="O65">
        <v>1</v>
      </c>
    </row>
    <row r="66" spans="1:16" hidden="1" x14ac:dyDescent="0.25">
      <c r="F66" t="s">
        <v>401</v>
      </c>
      <c r="G66" s="2">
        <v>1</v>
      </c>
      <c r="I66" t="s">
        <v>34</v>
      </c>
      <c r="J66" s="9">
        <f>J65</f>
        <v>45751</v>
      </c>
      <c r="K66" t="str">
        <f t="shared" ref="K66:K129" si="1">IF(E66&lt;&gt;"", E66, K65)</f>
        <v>REGULAR</v>
      </c>
      <c r="N66" s="5" t="s">
        <v>368</v>
      </c>
      <c r="O66">
        <v>567</v>
      </c>
    </row>
    <row r="67" spans="1:16" hidden="1" x14ac:dyDescent="0.25">
      <c r="F67" t="s">
        <v>392</v>
      </c>
      <c r="G67" s="2">
        <v>1</v>
      </c>
      <c r="I67" t="s">
        <v>34</v>
      </c>
      <c r="J67" s="9">
        <f>J66</f>
        <v>45751</v>
      </c>
      <c r="K67" t="str">
        <f t="shared" si="1"/>
        <v>REGULAR</v>
      </c>
    </row>
    <row r="68" spans="1:16" hidden="1" x14ac:dyDescent="0.25">
      <c r="A68" t="s">
        <v>698</v>
      </c>
      <c r="B68" s="8">
        <v>45751</v>
      </c>
      <c r="C68" t="s">
        <v>678</v>
      </c>
      <c r="D68" t="s">
        <v>10</v>
      </c>
      <c r="E68" t="s">
        <v>623</v>
      </c>
      <c r="F68" t="s">
        <v>699</v>
      </c>
      <c r="G68" s="2">
        <v>2</v>
      </c>
      <c r="H68" s="2">
        <v>260</v>
      </c>
      <c r="I68" t="s">
        <v>11</v>
      </c>
      <c r="J68" s="9">
        <v>45751</v>
      </c>
      <c r="K68" t="str">
        <f t="shared" si="1"/>
        <v>REGULAR</v>
      </c>
    </row>
    <row r="69" spans="1:16" hidden="1" x14ac:dyDescent="0.25">
      <c r="F69" t="s">
        <v>452</v>
      </c>
      <c r="G69" s="2">
        <v>2</v>
      </c>
      <c r="I69" t="s">
        <v>11</v>
      </c>
      <c r="J69" s="9">
        <f>J68</f>
        <v>45751</v>
      </c>
      <c r="K69" t="str">
        <f t="shared" si="1"/>
        <v>REGULAR</v>
      </c>
    </row>
    <row r="70" spans="1:16" hidden="1" x14ac:dyDescent="0.25">
      <c r="A70" t="s">
        <v>700</v>
      </c>
      <c r="B70" s="8">
        <v>45751</v>
      </c>
      <c r="C70" t="s">
        <v>678</v>
      </c>
      <c r="D70" t="s">
        <v>10</v>
      </c>
      <c r="E70" t="s">
        <v>623</v>
      </c>
      <c r="F70" t="s">
        <v>672</v>
      </c>
      <c r="G70" s="2">
        <v>1</v>
      </c>
      <c r="H70" s="2">
        <v>190</v>
      </c>
      <c r="I70" t="s">
        <v>11</v>
      </c>
      <c r="J70" s="9">
        <v>45751</v>
      </c>
      <c r="K70" t="str">
        <f t="shared" si="1"/>
        <v>REGULAR</v>
      </c>
      <c r="N70" s="28" t="s">
        <v>1359</v>
      </c>
      <c r="O70" s="28"/>
    </row>
    <row r="71" spans="1:16" hidden="1" x14ac:dyDescent="0.25">
      <c r="A71" t="s">
        <v>701</v>
      </c>
      <c r="B71" s="8">
        <v>45751</v>
      </c>
      <c r="C71" t="s">
        <v>678</v>
      </c>
      <c r="D71" t="s">
        <v>10</v>
      </c>
      <c r="E71" t="s">
        <v>623</v>
      </c>
      <c r="F71" t="s">
        <v>428</v>
      </c>
      <c r="G71" s="2">
        <v>1</v>
      </c>
      <c r="H71" s="2">
        <v>295</v>
      </c>
      <c r="I71" t="s">
        <v>11</v>
      </c>
      <c r="J71" s="9">
        <v>45751</v>
      </c>
      <c r="K71" t="str">
        <f t="shared" si="1"/>
        <v>REGULAR</v>
      </c>
    </row>
    <row r="72" spans="1:16" hidden="1" x14ac:dyDescent="0.25">
      <c r="F72" t="s">
        <v>492</v>
      </c>
      <c r="G72" s="2">
        <v>1</v>
      </c>
      <c r="I72" t="s">
        <v>11</v>
      </c>
      <c r="J72" s="9">
        <f>J71</f>
        <v>45751</v>
      </c>
      <c r="K72" t="str">
        <f t="shared" si="1"/>
        <v>REGULAR</v>
      </c>
      <c r="N72" s="4" t="s">
        <v>363</v>
      </c>
      <c r="O72" t="s">
        <v>1338</v>
      </c>
      <c r="P72" t="s">
        <v>1349</v>
      </c>
    </row>
    <row r="73" spans="1:16" hidden="1" x14ac:dyDescent="0.25">
      <c r="F73" t="s">
        <v>281</v>
      </c>
      <c r="G73" s="2">
        <v>1</v>
      </c>
      <c r="I73" t="s">
        <v>34</v>
      </c>
      <c r="J73" s="9">
        <f>J72</f>
        <v>45751</v>
      </c>
      <c r="K73" t="str">
        <f t="shared" si="1"/>
        <v>REGULAR</v>
      </c>
      <c r="N73" s="5" t="s">
        <v>736</v>
      </c>
      <c r="O73">
        <v>57</v>
      </c>
      <c r="P73" s="20">
        <v>0.10052910052910052</v>
      </c>
    </row>
    <row r="74" spans="1:16" x14ac:dyDescent="0.25">
      <c r="A74" t="s">
        <v>702</v>
      </c>
      <c r="B74" s="8">
        <v>45752</v>
      </c>
      <c r="C74" t="s">
        <v>703</v>
      </c>
      <c r="D74" t="s">
        <v>10</v>
      </c>
      <c r="E74" t="s">
        <v>607</v>
      </c>
      <c r="F74" t="s">
        <v>662</v>
      </c>
      <c r="G74" s="2">
        <v>1</v>
      </c>
      <c r="H74" s="2">
        <v>129</v>
      </c>
      <c r="I74" t="s">
        <v>11</v>
      </c>
      <c r="J74" s="9">
        <v>45752</v>
      </c>
      <c r="K74" t="str">
        <f t="shared" si="1"/>
        <v>SUBSCRIPTION</v>
      </c>
      <c r="N74" s="5" t="s">
        <v>606</v>
      </c>
      <c r="O74">
        <v>92</v>
      </c>
      <c r="P74" s="20">
        <v>0.16225749559082892</v>
      </c>
    </row>
    <row r="75" spans="1:16" x14ac:dyDescent="0.25">
      <c r="A75" t="s">
        <v>704</v>
      </c>
      <c r="B75" s="8">
        <v>45752</v>
      </c>
      <c r="C75" t="s">
        <v>703</v>
      </c>
      <c r="D75" t="s">
        <v>10</v>
      </c>
      <c r="E75" t="s">
        <v>607</v>
      </c>
      <c r="F75" t="s">
        <v>1224</v>
      </c>
      <c r="G75" s="2">
        <v>1</v>
      </c>
      <c r="H75" s="2">
        <v>179</v>
      </c>
      <c r="I75" t="s">
        <v>34</v>
      </c>
      <c r="J75" s="9">
        <v>45752</v>
      </c>
      <c r="K75" t="str">
        <f t="shared" si="1"/>
        <v>SUBSCRIPTION</v>
      </c>
      <c r="N75" s="5" t="s">
        <v>632</v>
      </c>
      <c r="O75">
        <v>83</v>
      </c>
      <c r="P75" s="20">
        <v>0.14638447971781304</v>
      </c>
    </row>
    <row r="76" spans="1:16" x14ac:dyDescent="0.25">
      <c r="A76" t="s">
        <v>705</v>
      </c>
      <c r="B76" s="8">
        <v>45752</v>
      </c>
      <c r="C76" t="s">
        <v>703</v>
      </c>
      <c r="D76" t="s">
        <v>18</v>
      </c>
      <c r="E76" t="s">
        <v>607</v>
      </c>
      <c r="F76" t="s">
        <v>1093</v>
      </c>
      <c r="G76" s="2">
        <v>1</v>
      </c>
      <c r="H76" s="2">
        <v>149</v>
      </c>
      <c r="I76" t="s">
        <v>34</v>
      </c>
      <c r="J76" s="9">
        <v>45752</v>
      </c>
      <c r="K76" t="str">
        <f t="shared" si="1"/>
        <v>SUBSCRIPTION</v>
      </c>
      <c r="N76" s="5" t="s">
        <v>648</v>
      </c>
      <c r="O76">
        <v>100</v>
      </c>
      <c r="P76" s="20">
        <v>0.17636684303350969</v>
      </c>
    </row>
    <row r="77" spans="1:16" x14ac:dyDescent="0.25">
      <c r="A77" t="s">
        <v>706</v>
      </c>
      <c r="B77" s="8">
        <v>45752</v>
      </c>
      <c r="C77" t="s">
        <v>703</v>
      </c>
      <c r="D77" t="s">
        <v>21</v>
      </c>
      <c r="E77" t="s">
        <v>607</v>
      </c>
      <c r="F77" t="s">
        <v>1009</v>
      </c>
      <c r="G77" s="2">
        <v>2</v>
      </c>
      <c r="H77" s="2">
        <f>2*79</f>
        <v>158</v>
      </c>
      <c r="I77" t="s">
        <v>11</v>
      </c>
      <c r="J77" s="9">
        <v>45752</v>
      </c>
      <c r="K77" t="str">
        <f t="shared" si="1"/>
        <v>SUBSCRIPTION</v>
      </c>
      <c r="N77" s="5" t="s">
        <v>678</v>
      </c>
      <c r="O77">
        <v>90</v>
      </c>
      <c r="P77" s="20">
        <v>0.15873015873015872</v>
      </c>
    </row>
    <row r="78" spans="1:16" x14ac:dyDescent="0.25">
      <c r="A78" t="s">
        <v>707</v>
      </c>
      <c r="B78" s="8">
        <v>45752</v>
      </c>
      <c r="C78" t="s">
        <v>703</v>
      </c>
      <c r="D78" t="s">
        <v>10</v>
      </c>
      <c r="E78" t="s">
        <v>607</v>
      </c>
      <c r="F78" t="s">
        <v>1224</v>
      </c>
      <c r="G78" s="2">
        <v>1</v>
      </c>
      <c r="H78" s="2">
        <v>179</v>
      </c>
      <c r="I78" t="s">
        <v>34</v>
      </c>
      <c r="J78" s="9">
        <v>45752</v>
      </c>
      <c r="K78" t="str">
        <f t="shared" si="1"/>
        <v>SUBSCRIPTION</v>
      </c>
      <c r="N78" s="5" t="s">
        <v>703</v>
      </c>
      <c r="O78">
        <v>73</v>
      </c>
      <c r="P78" s="20">
        <v>0.12874779541446207</v>
      </c>
    </row>
    <row r="79" spans="1:16" x14ac:dyDescent="0.25">
      <c r="A79" t="s">
        <v>708</v>
      </c>
      <c r="B79" s="8">
        <v>45752</v>
      </c>
      <c r="C79" t="s">
        <v>703</v>
      </c>
      <c r="D79" t="s">
        <v>21</v>
      </c>
      <c r="E79" t="s">
        <v>607</v>
      </c>
      <c r="F79" t="s">
        <v>1009</v>
      </c>
      <c r="G79" s="2">
        <v>1</v>
      </c>
      <c r="H79" s="2">
        <v>79</v>
      </c>
      <c r="I79" t="s">
        <v>11</v>
      </c>
      <c r="J79" s="9">
        <v>45752</v>
      </c>
      <c r="K79" t="str">
        <f t="shared" si="1"/>
        <v>SUBSCRIPTION</v>
      </c>
      <c r="N79" s="5" t="s">
        <v>724</v>
      </c>
      <c r="O79">
        <v>72</v>
      </c>
      <c r="P79" s="20">
        <v>0.12698412698412698</v>
      </c>
    </row>
    <row r="80" spans="1:16" x14ac:dyDescent="0.25">
      <c r="A80" t="s">
        <v>709</v>
      </c>
      <c r="B80" s="8">
        <v>45752</v>
      </c>
      <c r="C80" t="s">
        <v>703</v>
      </c>
      <c r="D80" t="s">
        <v>10</v>
      </c>
      <c r="E80" t="s">
        <v>607</v>
      </c>
      <c r="F80" t="s">
        <v>710</v>
      </c>
      <c r="G80" s="2">
        <v>1</v>
      </c>
      <c r="H80" s="2">
        <v>129</v>
      </c>
      <c r="I80" t="s">
        <v>11</v>
      </c>
      <c r="J80" s="9">
        <v>45752</v>
      </c>
      <c r="K80" t="str">
        <f t="shared" si="1"/>
        <v>SUBSCRIPTION</v>
      </c>
      <c r="N80" s="5" t="s">
        <v>368</v>
      </c>
      <c r="O80">
        <v>567</v>
      </c>
      <c r="P80" s="20">
        <v>1</v>
      </c>
    </row>
    <row r="81" spans="1:17" hidden="1" x14ac:dyDescent="0.25">
      <c r="A81" t="s">
        <v>711</v>
      </c>
      <c r="B81" s="8">
        <v>45752</v>
      </c>
      <c r="C81" t="s">
        <v>703</v>
      </c>
      <c r="D81" t="s">
        <v>10</v>
      </c>
      <c r="E81" t="s">
        <v>623</v>
      </c>
      <c r="F81" t="s">
        <v>408</v>
      </c>
      <c r="G81" s="2">
        <v>1</v>
      </c>
      <c r="H81" s="2">
        <v>190</v>
      </c>
      <c r="I81" t="s">
        <v>34</v>
      </c>
      <c r="J81" s="9">
        <v>45752</v>
      </c>
      <c r="K81" t="str">
        <f t="shared" si="1"/>
        <v>REGULAR</v>
      </c>
    </row>
    <row r="82" spans="1:17" hidden="1" x14ac:dyDescent="0.25">
      <c r="A82" t="s">
        <v>712</v>
      </c>
      <c r="B82" s="8">
        <v>45752</v>
      </c>
      <c r="C82" t="s">
        <v>703</v>
      </c>
      <c r="D82" t="s">
        <v>10</v>
      </c>
      <c r="E82" t="s">
        <v>623</v>
      </c>
      <c r="F82" t="s">
        <v>672</v>
      </c>
      <c r="G82" s="2">
        <v>1</v>
      </c>
      <c r="H82" s="2">
        <v>190</v>
      </c>
      <c r="I82" t="s">
        <v>11</v>
      </c>
      <c r="J82" s="9">
        <v>45752</v>
      </c>
      <c r="K82" t="str">
        <f t="shared" si="1"/>
        <v>REGULAR</v>
      </c>
    </row>
    <row r="83" spans="1:17" hidden="1" x14ac:dyDescent="0.25">
      <c r="A83" t="s">
        <v>713</v>
      </c>
      <c r="B83" s="8">
        <v>45752</v>
      </c>
      <c r="C83" t="s">
        <v>703</v>
      </c>
      <c r="D83" t="s">
        <v>10</v>
      </c>
      <c r="E83" t="s">
        <v>623</v>
      </c>
      <c r="F83" t="s">
        <v>492</v>
      </c>
      <c r="G83" s="2">
        <v>1</v>
      </c>
      <c r="H83" s="2">
        <v>225</v>
      </c>
      <c r="I83" t="s">
        <v>11</v>
      </c>
      <c r="J83" s="9">
        <v>45752</v>
      </c>
      <c r="K83" t="str">
        <f t="shared" si="1"/>
        <v>REGULAR</v>
      </c>
    </row>
    <row r="84" spans="1:17" hidden="1" x14ac:dyDescent="0.25">
      <c r="F84" t="s">
        <v>672</v>
      </c>
      <c r="G84" s="2">
        <v>1</v>
      </c>
      <c r="I84" t="s">
        <v>11</v>
      </c>
      <c r="J84" s="9">
        <f>J83</f>
        <v>45752</v>
      </c>
      <c r="K84" t="str">
        <f t="shared" si="1"/>
        <v>REGULAR</v>
      </c>
    </row>
    <row r="85" spans="1:17" hidden="1" x14ac:dyDescent="0.25">
      <c r="A85" t="s">
        <v>714</v>
      </c>
      <c r="B85" s="8">
        <v>45752</v>
      </c>
      <c r="C85" t="s">
        <v>703</v>
      </c>
      <c r="D85" t="s">
        <v>10</v>
      </c>
      <c r="E85" t="s">
        <v>623</v>
      </c>
      <c r="F85" t="s">
        <v>465</v>
      </c>
      <c r="G85" s="2">
        <v>1</v>
      </c>
      <c r="H85" s="2">
        <v>590</v>
      </c>
      <c r="I85" t="s">
        <v>34</v>
      </c>
      <c r="J85" s="9">
        <v>45752</v>
      </c>
      <c r="K85" t="str">
        <f t="shared" si="1"/>
        <v>REGULAR</v>
      </c>
    </row>
    <row r="86" spans="1:17" hidden="1" x14ac:dyDescent="0.25">
      <c r="F86" t="s">
        <v>406</v>
      </c>
      <c r="G86" s="2">
        <v>1</v>
      </c>
      <c r="I86" t="s">
        <v>34</v>
      </c>
      <c r="J86" s="9">
        <f>J85</f>
        <v>45752</v>
      </c>
      <c r="K86" t="str">
        <f t="shared" si="1"/>
        <v>REGULAR</v>
      </c>
    </row>
    <row r="87" spans="1:17" hidden="1" x14ac:dyDescent="0.25">
      <c r="F87" t="s">
        <v>395</v>
      </c>
      <c r="G87" s="2">
        <v>2</v>
      </c>
      <c r="I87" t="s">
        <v>34</v>
      </c>
      <c r="J87" s="9">
        <f>J86</f>
        <v>45752</v>
      </c>
      <c r="K87" t="str">
        <f t="shared" si="1"/>
        <v>REGULAR</v>
      </c>
    </row>
    <row r="88" spans="1:17" hidden="1" x14ac:dyDescent="0.25">
      <c r="A88" t="s">
        <v>716</v>
      </c>
      <c r="B88" s="8">
        <v>45752</v>
      </c>
      <c r="C88" t="s">
        <v>703</v>
      </c>
      <c r="D88" t="s">
        <v>10</v>
      </c>
      <c r="E88" t="s">
        <v>623</v>
      </c>
      <c r="F88" t="s">
        <v>465</v>
      </c>
      <c r="G88" s="2">
        <v>1</v>
      </c>
      <c r="H88" s="2">
        <v>270</v>
      </c>
      <c r="I88" t="s">
        <v>34</v>
      </c>
      <c r="J88" s="9">
        <v>45752</v>
      </c>
      <c r="K88" t="str">
        <f t="shared" si="1"/>
        <v>REGULAR</v>
      </c>
    </row>
    <row r="89" spans="1:17" hidden="1" x14ac:dyDescent="0.25">
      <c r="F89" t="s">
        <v>675</v>
      </c>
      <c r="G89" s="2">
        <v>1</v>
      </c>
      <c r="I89" t="s">
        <v>11</v>
      </c>
      <c r="J89" s="9">
        <f>J88</f>
        <v>45752</v>
      </c>
      <c r="K89" t="str">
        <f t="shared" si="1"/>
        <v>REGULAR</v>
      </c>
    </row>
    <row r="90" spans="1:17" hidden="1" x14ac:dyDescent="0.25">
      <c r="A90" t="s">
        <v>717</v>
      </c>
      <c r="B90" s="8">
        <v>45752</v>
      </c>
      <c r="C90" t="s">
        <v>703</v>
      </c>
      <c r="D90" t="s">
        <v>10</v>
      </c>
      <c r="E90" t="s">
        <v>623</v>
      </c>
      <c r="F90" t="s">
        <v>481</v>
      </c>
      <c r="G90" s="2">
        <v>1</v>
      </c>
      <c r="H90" s="2">
        <v>450</v>
      </c>
      <c r="I90" t="s">
        <v>34</v>
      </c>
      <c r="J90" s="9">
        <v>45752</v>
      </c>
      <c r="K90" t="str">
        <f t="shared" si="1"/>
        <v>REGULAR</v>
      </c>
    </row>
    <row r="91" spans="1:17" hidden="1" x14ac:dyDescent="0.25">
      <c r="F91" t="s">
        <v>386</v>
      </c>
      <c r="G91" s="2">
        <v>1</v>
      </c>
      <c r="I91" t="s">
        <v>34</v>
      </c>
      <c r="J91" s="9">
        <f>J90</f>
        <v>45752</v>
      </c>
      <c r="K91" t="str">
        <f t="shared" si="1"/>
        <v>REGULAR</v>
      </c>
      <c r="N91" s="28" t="s">
        <v>1360</v>
      </c>
      <c r="O91" s="28"/>
    </row>
    <row r="92" spans="1:17" hidden="1" x14ac:dyDescent="0.25">
      <c r="F92" t="s">
        <v>408</v>
      </c>
      <c r="G92" s="2">
        <v>1</v>
      </c>
      <c r="I92" t="s">
        <v>34</v>
      </c>
      <c r="J92" s="9">
        <f>J91</f>
        <v>45752</v>
      </c>
      <c r="K92" t="str">
        <f t="shared" si="1"/>
        <v>REGULAR</v>
      </c>
    </row>
    <row r="93" spans="1:17" hidden="1" x14ac:dyDescent="0.25">
      <c r="A93" t="s">
        <v>718</v>
      </c>
      <c r="B93" s="8">
        <v>45752</v>
      </c>
      <c r="C93" t="s">
        <v>703</v>
      </c>
      <c r="D93" t="s">
        <v>10</v>
      </c>
      <c r="E93" t="s">
        <v>623</v>
      </c>
      <c r="F93" t="s">
        <v>492</v>
      </c>
      <c r="G93" s="2">
        <v>1</v>
      </c>
      <c r="H93" s="2">
        <v>260</v>
      </c>
      <c r="I93" t="s">
        <v>11</v>
      </c>
      <c r="J93" s="9">
        <v>45752</v>
      </c>
      <c r="K93" t="str">
        <f t="shared" si="1"/>
        <v>REGULAR</v>
      </c>
      <c r="N93" s="4" t="s">
        <v>1338</v>
      </c>
      <c r="O93" s="4" t="s">
        <v>383</v>
      </c>
    </row>
    <row r="94" spans="1:17" hidden="1" x14ac:dyDescent="0.25">
      <c r="F94" t="s">
        <v>71</v>
      </c>
      <c r="G94" s="2">
        <v>1</v>
      </c>
      <c r="I94" t="s">
        <v>11</v>
      </c>
      <c r="J94" s="9">
        <f>J93</f>
        <v>45752</v>
      </c>
      <c r="K94" t="str">
        <f t="shared" si="1"/>
        <v>REGULAR</v>
      </c>
      <c r="N94" s="4" t="s">
        <v>363</v>
      </c>
      <c r="O94" t="s">
        <v>623</v>
      </c>
      <c r="P94" t="s">
        <v>607</v>
      </c>
      <c r="Q94" t="s">
        <v>368</v>
      </c>
    </row>
    <row r="95" spans="1:17" hidden="1" x14ac:dyDescent="0.25">
      <c r="F95" t="s">
        <v>431</v>
      </c>
      <c r="G95" s="2">
        <v>1</v>
      </c>
      <c r="I95" t="s">
        <v>34</v>
      </c>
      <c r="J95" s="9">
        <f>J94</f>
        <v>45752</v>
      </c>
      <c r="K95" t="str">
        <f t="shared" si="1"/>
        <v>REGULAR</v>
      </c>
      <c r="N95" s="5" t="s">
        <v>736</v>
      </c>
      <c r="O95">
        <v>19</v>
      </c>
      <c r="P95">
        <v>38</v>
      </c>
      <c r="Q95">
        <v>57</v>
      </c>
    </row>
    <row r="96" spans="1:17" hidden="1" x14ac:dyDescent="0.25">
      <c r="A96" t="s">
        <v>719</v>
      </c>
      <c r="B96" s="8">
        <v>45752</v>
      </c>
      <c r="C96" t="s">
        <v>703</v>
      </c>
      <c r="D96" t="s">
        <v>10</v>
      </c>
      <c r="E96" t="s">
        <v>623</v>
      </c>
      <c r="F96" t="s">
        <v>469</v>
      </c>
      <c r="G96" s="2">
        <v>1</v>
      </c>
      <c r="H96" s="2">
        <v>170</v>
      </c>
      <c r="I96" t="s">
        <v>34</v>
      </c>
      <c r="J96" s="9">
        <v>45752</v>
      </c>
      <c r="K96" t="str">
        <f t="shared" si="1"/>
        <v>REGULAR</v>
      </c>
      <c r="N96" s="5" t="s">
        <v>606</v>
      </c>
      <c r="O96">
        <v>43</v>
      </c>
      <c r="P96">
        <v>49</v>
      </c>
      <c r="Q96">
        <v>92</v>
      </c>
    </row>
    <row r="97" spans="1:17" hidden="1" x14ac:dyDescent="0.25">
      <c r="A97" t="s">
        <v>720</v>
      </c>
      <c r="B97" s="8">
        <v>45752</v>
      </c>
      <c r="C97" t="s">
        <v>703</v>
      </c>
      <c r="D97" t="s">
        <v>10</v>
      </c>
      <c r="E97" t="s">
        <v>623</v>
      </c>
      <c r="F97" t="s">
        <v>77</v>
      </c>
      <c r="G97" s="2">
        <v>1</v>
      </c>
      <c r="H97" s="2">
        <v>300</v>
      </c>
      <c r="I97" t="s">
        <v>11</v>
      </c>
      <c r="J97" s="9">
        <v>45752</v>
      </c>
      <c r="K97" t="str">
        <f t="shared" si="1"/>
        <v>REGULAR</v>
      </c>
      <c r="N97" s="5" t="s">
        <v>632</v>
      </c>
      <c r="O97">
        <v>38</v>
      </c>
      <c r="P97">
        <v>45</v>
      </c>
      <c r="Q97">
        <v>83</v>
      </c>
    </row>
    <row r="98" spans="1:17" hidden="1" x14ac:dyDescent="0.25">
      <c r="F98" t="s">
        <v>395</v>
      </c>
      <c r="G98" s="2">
        <v>1</v>
      </c>
      <c r="I98" t="s">
        <v>34</v>
      </c>
      <c r="J98" s="9">
        <f>J97</f>
        <v>45752</v>
      </c>
      <c r="K98" t="str">
        <f t="shared" si="1"/>
        <v>REGULAR</v>
      </c>
      <c r="N98" s="5" t="s">
        <v>648</v>
      </c>
      <c r="O98">
        <v>47</v>
      </c>
      <c r="P98">
        <v>53</v>
      </c>
      <c r="Q98">
        <v>100</v>
      </c>
    </row>
    <row r="99" spans="1:17" hidden="1" x14ac:dyDescent="0.25">
      <c r="F99" t="s">
        <v>721</v>
      </c>
      <c r="G99" s="2">
        <v>1</v>
      </c>
      <c r="I99" t="s">
        <v>11</v>
      </c>
      <c r="J99" s="9">
        <f>J98</f>
        <v>45752</v>
      </c>
      <c r="K99" t="str">
        <f t="shared" si="1"/>
        <v>REGULAR</v>
      </c>
      <c r="N99" s="5" t="s">
        <v>678</v>
      </c>
      <c r="O99">
        <v>37</v>
      </c>
      <c r="P99">
        <v>53</v>
      </c>
      <c r="Q99">
        <v>90</v>
      </c>
    </row>
    <row r="100" spans="1:17" hidden="1" x14ac:dyDescent="0.25">
      <c r="A100" t="s">
        <v>722</v>
      </c>
      <c r="B100" s="8">
        <v>45752</v>
      </c>
      <c r="C100" t="s">
        <v>703</v>
      </c>
      <c r="D100" t="s">
        <v>10</v>
      </c>
      <c r="E100" t="s">
        <v>623</v>
      </c>
      <c r="F100" t="s">
        <v>470</v>
      </c>
      <c r="G100" s="2">
        <v>1</v>
      </c>
      <c r="H100" s="2">
        <v>170</v>
      </c>
      <c r="I100" t="s">
        <v>34</v>
      </c>
      <c r="J100" s="9">
        <v>45752</v>
      </c>
      <c r="K100" t="str">
        <f t="shared" si="1"/>
        <v>REGULAR</v>
      </c>
      <c r="N100" s="5" t="s">
        <v>703</v>
      </c>
      <c r="O100">
        <v>37</v>
      </c>
      <c r="P100">
        <v>36</v>
      </c>
      <c r="Q100">
        <v>73</v>
      </c>
    </row>
    <row r="101" spans="1:17" x14ac:dyDescent="0.25">
      <c r="A101" t="s">
        <v>723</v>
      </c>
      <c r="B101" s="8">
        <v>45753</v>
      </c>
      <c r="C101" t="s">
        <v>724</v>
      </c>
      <c r="D101" t="s">
        <v>18</v>
      </c>
      <c r="E101" t="s">
        <v>607</v>
      </c>
      <c r="F101" t="s">
        <v>903</v>
      </c>
      <c r="G101" s="2">
        <v>1</v>
      </c>
      <c r="H101" s="2">
        <v>129</v>
      </c>
      <c r="I101" t="s">
        <v>34</v>
      </c>
      <c r="J101" s="9">
        <v>45753</v>
      </c>
      <c r="K101" t="str">
        <f t="shared" si="1"/>
        <v>SUBSCRIPTION</v>
      </c>
      <c r="N101" s="5" t="s">
        <v>724</v>
      </c>
      <c r="O101">
        <v>48</v>
      </c>
      <c r="P101">
        <v>24</v>
      </c>
      <c r="Q101">
        <v>72</v>
      </c>
    </row>
    <row r="102" spans="1:17" x14ac:dyDescent="0.25">
      <c r="A102" t="s">
        <v>725</v>
      </c>
      <c r="B102" s="8">
        <v>45753</v>
      </c>
      <c r="C102" t="s">
        <v>724</v>
      </c>
      <c r="D102" t="s">
        <v>10</v>
      </c>
      <c r="E102" t="s">
        <v>607</v>
      </c>
      <c r="F102" t="s">
        <v>1239</v>
      </c>
      <c r="G102" s="2">
        <v>1</v>
      </c>
      <c r="H102" s="2">
        <v>149</v>
      </c>
      <c r="I102" t="s">
        <v>34</v>
      </c>
      <c r="J102" s="9">
        <v>45753</v>
      </c>
      <c r="K102" t="str">
        <f t="shared" si="1"/>
        <v>SUBSCRIPTION</v>
      </c>
      <c r="N102" s="5" t="s">
        <v>368</v>
      </c>
      <c r="O102">
        <v>269</v>
      </c>
      <c r="P102">
        <v>298</v>
      </c>
      <c r="Q102">
        <v>567</v>
      </c>
    </row>
    <row r="103" spans="1:17" x14ac:dyDescent="0.25">
      <c r="A103" t="s">
        <v>726</v>
      </c>
      <c r="B103" s="8">
        <v>45753</v>
      </c>
      <c r="C103" t="s">
        <v>724</v>
      </c>
      <c r="D103" t="s">
        <v>10</v>
      </c>
      <c r="E103" t="s">
        <v>607</v>
      </c>
      <c r="F103" t="s">
        <v>727</v>
      </c>
      <c r="G103" s="2">
        <v>1</v>
      </c>
      <c r="H103" s="2">
        <v>129</v>
      </c>
      <c r="I103" t="s">
        <v>34</v>
      </c>
      <c r="J103" s="9">
        <v>45753</v>
      </c>
      <c r="K103" t="str">
        <f t="shared" si="1"/>
        <v>SUBSCRIPTION</v>
      </c>
    </row>
    <row r="104" spans="1:17" x14ac:dyDescent="0.25">
      <c r="A104" t="s">
        <v>728</v>
      </c>
      <c r="B104" s="8">
        <v>45753</v>
      </c>
      <c r="C104" t="s">
        <v>724</v>
      </c>
      <c r="D104" t="s">
        <v>21</v>
      </c>
      <c r="E104" t="s">
        <v>607</v>
      </c>
      <c r="F104" t="s">
        <v>908</v>
      </c>
      <c r="G104" s="2">
        <v>2</v>
      </c>
      <c r="H104" s="2">
        <f>2*99</f>
        <v>198</v>
      </c>
      <c r="I104" t="s">
        <v>34</v>
      </c>
      <c r="J104" s="9">
        <v>45753</v>
      </c>
      <c r="K104" t="str">
        <f t="shared" si="1"/>
        <v>SUBSCRIPTION</v>
      </c>
    </row>
    <row r="105" spans="1:17" x14ac:dyDescent="0.25">
      <c r="A105" t="s">
        <v>729</v>
      </c>
      <c r="B105" s="8">
        <v>45753</v>
      </c>
      <c r="C105" t="s">
        <v>724</v>
      </c>
      <c r="D105" t="s">
        <v>21</v>
      </c>
      <c r="E105" t="s">
        <v>607</v>
      </c>
      <c r="F105" t="s">
        <v>1026</v>
      </c>
      <c r="G105" s="2">
        <v>1</v>
      </c>
      <c r="H105" s="2">
        <v>117</v>
      </c>
      <c r="I105" t="s">
        <v>34</v>
      </c>
      <c r="J105" s="9">
        <v>45753</v>
      </c>
      <c r="K105" t="str">
        <f t="shared" si="1"/>
        <v>SUBSCRIPTION</v>
      </c>
    </row>
    <row r="106" spans="1:17" x14ac:dyDescent="0.25">
      <c r="A106" t="s">
        <v>730</v>
      </c>
      <c r="B106" s="8">
        <v>45753</v>
      </c>
      <c r="C106" t="s">
        <v>724</v>
      </c>
      <c r="D106" t="s">
        <v>18</v>
      </c>
      <c r="E106" t="s">
        <v>607</v>
      </c>
      <c r="F106" t="s">
        <v>903</v>
      </c>
      <c r="G106" s="2">
        <v>1</v>
      </c>
      <c r="H106" s="2">
        <v>129</v>
      </c>
      <c r="I106" t="s">
        <v>34</v>
      </c>
      <c r="J106" s="9">
        <v>45753</v>
      </c>
      <c r="K106" t="str">
        <f t="shared" si="1"/>
        <v>SUBSCRIPTION</v>
      </c>
    </row>
    <row r="107" spans="1:17" hidden="1" x14ac:dyDescent="0.25">
      <c r="A107" t="s">
        <v>731</v>
      </c>
      <c r="B107" s="8">
        <v>45753</v>
      </c>
      <c r="C107" t="s">
        <v>724</v>
      </c>
      <c r="D107" t="s">
        <v>10</v>
      </c>
      <c r="E107" t="s">
        <v>623</v>
      </c>
      <c r="F107" t="s">
        <v>646</v>
      </c>
      <c r="G107" s="2">
        <v>1</v>
      </c>
      <c r="H107" s="2">
        <v>140</v>
      </c>
      <c r="I107" t="s">
        <v>11</v>
      </c>
      <c r="J107" s="9">
        <v>45753</v>
      </c>
      <c r="K107" t="str">
        <f t="shared" si="1"/>
        <v>REGULAR</v>
      </c>
    </row>
    <row r="108" spans="1:17" hidden="1" x14ac:dyDescent="0.25">
      <c r="A108" t="s">
        <v>732</v>
      </c>
      <c r="B108" s="8">
        <v>45753</v>
      </c>
      <c r="C108" t="s">
        <v>724</v>
      </c>
      <c r="D108" t="s">
        <v>10</v>
      </c>
      <c r="E108" t="s">
        <v>623</v>
      </c>
      <c r="F108" t="s">
        <v>733</v>
      </c>
      <c r="G108" s="2">
        <v>2</v>
      </c>
      <c r="H108" s="2">
        <v>540</v>
      </c>
      <c r="I108" t="s">
        <v>34</v>
      </c>
      <c r="J108" s="9">
        <v>45753</v>
      </c>
      <c r="K108" t="str">
        <f t="shared" si="1"/>
        <v>REGULAR</v>
      </c>
    </row>
    <row r="109" spans="1:17" hidden="1" x14ac:dyDescent="0.25">
      <c r="F109" t="s">
        <v>734</v>
      </c>
      <c r="G109" s="2">
        <v>1</v>
      </c>
      <c r="I109" t="s">
        <v>34</v>
      </c>
      <c r="J109" s="9">
        <f>J108</f>
        <v>45753</v>
      </c>
      <c r="K109" t="str">
        <f t="shared" si="1"/>
        <v>REGULAR</v>
      </c>
    </row>
    <row r="110" spans="1:17" hidden="1" x14ac:dyDescent="0.25">
      <c r="A110" t="s">
        <v>735</v>
      </c>
      <c r="B110" s="8">
        <v>45753</v>
      </c>
      <c r="C110" t="s">
        <v>724</v>
      </c>
      <c r="D110" t="s">
        <v>10</v>
      </c>
      <c r="E110" t="s">
        <v>623</v>
      </c>
      <c r="F110" t="s">
        <v>480</v>
      </c>
      <c r="G110" s="2">
        <v>1</v>
      </c>
      <c r="H110" s="2">
        <v>240</v>
      </c>
      <c r="I110" t="s">
        <v>34</v>
      </c>
      <c r="J110" s="9">
        <v>45753</v>
      </c>
      <c r="K110" t="str">
        <f t="shared" si="1"/>
        <v>REGULAR</v>
      </c>
      <c r="N110" s="28" t="s">
        <v>1361</v>
      </c>
      <c r="O110" s="28"/>
    </row>
    <row r="111" spans="1:17" hidden="1" x14ac:dyDescent="0.25">
      <c r="A111" t="s">
        <v>737</v>
      </c>
      <c r="B111" s="8">
        <v>45753</v>
      </c>
      <c r="C111" t="s">
        <v>724</v>
      </c>
      <c r="D111" t="s">
        <v>10</v>
      </c>
      <c r="E111" t="s">
        <v>623</v>
      </c>
      <c r="F111" t="s">
        <v>77</v>
      </c>
      <c r="G111" s="2">
        <v>1</v>
      </c>
      <c r="H111" s="2">
        <v>190</v>
      </c>
      <c r="I111" t="s">
        <v>11</v>
      </c>
      <c r="J111" s="9">
        <v>45753</v>
      </c>
      <c r="K111" t="str">
        <f t="shared" si="1"/>
        <v>REGULAR</v>
      </c>
    </row>
    <row r="112" spans="1:17" hidden="1" x14ac:dyDescent="0.25">
      <c r="F112" t="s">
        <v>452</v>
      </c>
      <c r="G112" s="2">
        <v>1</v>
      </c>
      <c r="I112" t="s">
        <v>11</v>
      </c>
      <c r="J112" s="9">
        <f>J111</f>
        <v>45753</v>
      </c>
      <c r="K112" t="str">
        <f t="shared" si="1"/>
        <v>REGULAR</v>
      </c>
      <c r="N112" s="4" t="s">
        <v>1338</v>
      </c>
      <c r="O112" s="4" t="s">
        <v>383</v>
      </c>
    </row>
    <row r="113" spans="1:18" hidden="1" x14ac:dyDescent="0.25">
      <c r="F113" t="s">
        <v>491</v>
      </c>
      <c r="G113" s="2">
        <v>1</v>
      </c>
      <c r="I113" t="s">
        <v>11</v>
      </c>
      <c r="J113" s="9">
        <f>J112</f>
        <v>45753</v>
      </c>
      <c r="K113" t="str">
        <f t="shared" si="1"/>
        <v>REGULAR</v>
      </c>
      <c r="N113" s="4" t="s">
        <v>363</v>
      </c>
      <c r="O113" t="s">
        <v>21</v>
      </c>
      <c r="P113" t="s">
        <v>18</v>
      </c>
      <c r="Q113" t="s">
        <v>10</v>
      </c>
      <c r="R113" t="s">
        <v>368</v>
      </c>
    </row>
    <row r="114" spans="1:18" hidden="1" x14ac:dyDescent="0.25">
      <c r="A114" t="s">
        <v>738</v>
      </c>
      <c r="B114" s="8">
        <v>45753</v>
      </c>
      <c r="C114" t="s">
        <v>724</v>
      </c>
      <c r="D114" t="s">
        <v>10</v>
      </c>
      <c r="E114" t="s">
        <v>623</v>
      </c>
      <c r="F114" t="s">
        <v>71</v>
      </c>
      <c r="G114" s="2">
        <v>1</v>
      </c>
      <c r="H114" s="2">
        <v>340</v>
      </c>
      <c r="I114" t="s">
        <v>11</v>
      </c>
      <c r="J114" s="9">
        <v>45753</v>
      </c>
      <c r="K114" t="str">
        <f t="shared" si="1"/>
        <v>REGULAR</v>
      </c>
      <c r="N114" s="5" t="s">
        <v>736</v>
      </c>
      <c r="O114">
        <v>6</v>
      </c>
      <c r="P114">
        <v>8</v>
      </c>
      <c r="Q114">
        <v>43</v>
      </c>
      <c r="R114">
        <v>57</v>
      </c>
    </row>
    <row r="115" spans="1:18" hidden="1" x14ac:dyDescent="0.25">
      <c r="F115" t="s">
        <v>77</v>
      </c>
      <c r="G115" s="2">
        <v>1</v>
      </c>
      <c r="I115" t="s">
        <v>11</v>
      </c>
      <c r="J115" s="9">
        <f>J114</f>
        <v>45753</v>
      </c>
      <c r="K115" t="str">
        <f t="shared" si="1"/>
        <v>REGULAR</v>
      </c>
      <c r="N115" s="5" t="s">
        <v>606</v>
      </c>
      <c r="O115">
        <v>11</v>
      </c>
      <c r="P115">
        <v>15</v>
      </c>
      <c r="Q115">
        <v>66</v>
      </c>
      <c r="R115">
        <v>92</v>
      </c>
    </row>
    <row r="116" spans="1:18" hidden="1" x14ac:dyDescent="0.25">
      <c r="F116" t="s">
        <v>491</v>
      </c>
      <c r="G116" s="2">
        <v>1</v>
      </c>
      <c r="I116" t="s">
        <v>11</v>
      </c>
      <c r="J116" s="9">
        <f>J115</f>
        <v>45753</v>
      </c>
      <c r="K116" t="str">
        <f t="shared" si="1"/>
        <v>REGULAR</v>
      </c>
      <c r="N116" s="5" t="s">
        <v>632</v>
      </c>
      <c r="O116">
        <v>10</v>
      </c>
      <c r="P116">
        <v>13</v>
      </c>
      <c r="Q116">
        <v>60</v>
      </c>
      <c r="R116">
        <v>83</v>
      </c>
    </row>
    <row r="117" spans="1:18" hidden="1" x14ac:dyDescent="0.25">
      <c r="F117" t="s">
        <v>699</v>
      </c>
      <c r="G117" s="2">
        <v>1</v>
      </c>
      <c r="I117" t="s">
        <v>11</v>
      </c>
      <c r="J117" s="9">
        <f>J116</f>
        <v>45753</v>
      </c>
      <c r="K117" t="str">
        <f t="shared" si="1"/>
        <v>REGULAR</v>
      </c>
      <c r="N117" s="5" t="s">
        <v>648</v>
      </c>
      <c r="O117">
        <v>12</v>
      </c>
      <c r="P117">
        <v>10</v>
      </c>
      <c r="Q117">
        <v>78</v>
      </c>
      <c r="R117">
        <v>100</v>
      </c>
    </row>
    <row r="118" spans="1:18" hidden="1" x14ac:dyDescent="0.25">
      <c r="F118" t="s">
        <v>721</v>
      </c>
      <c r="G118" s="2">
        <v>1</v>
      </c>
      <c r="I118" t="s">
        <v>11</v>
      </c>
      <c r="J118" s="9">
        <f>J117</f>
        <v>45753</v>
      </c>
      <c r="K118" t="str">
        <f t="shared" si="1"/>
        <v>REGULAR</v>
      </c>
      <c r="N118" s="5" t="s">
        <v>678</v>
      </c>
      <c r="O118">
        <v>13</v>
      </c>
      <c r="P118">
        <v>16</v>
      </c>
      <c r="Q118">
        <v>61</v>
      </c>
      <c r="R118">
        <v>90</v>
      </c>
    </row>
    <row r="119" spans="1:18" hidden="1" x14ac:dyDescent="0.25">
      <c r="A119" t="s">
        <v>739</v>
      </c>
      <c r="B119" s="8">
        <v>45753</v>
      </c>
      <c r="C119" t="s">
        <v>724</v>
      </c>
      <c r="D119" t="s">
        <v>10</v>
      </c>
      <c r="E119" t="s">
        <v>623</v>
      </c>
      <c r="F119" t="s">
        <v>740</v>
      </c>
      <c r="G119" s="2">
        <v>1</v>
      </c>
      <c r="H119" s="2">
        <v>340</v>
      </c>
      <c r="I119" t="s">
        <v>11</v>
      </c>
      <c r="J119" s="9">
        <v>45753</v>
      </c>
      <c r="K119" t="str">
        <f t="shared" si="1"/>
        <v>REGULAR</v>
      </c>
      <c r="N119" s="5" t="s">
        <v>703</v>
      </c>
      <c r="O119">
        <v>9</v>
      </c>
      <c r="P119">
        <v>9</v>
      </c>
      <c r="Q119">
        <v>55</v>
      </c>
      <c r="R119">
        <v>73</v>
      </c>
    </row>
    <row r="120" spans="1:18" hidden="1" x14ac:dyDescent="0.25">
      <c r="F120" t="s">
        <v>491</v>
      </c>
      <c r="G120" s="2">
        <v>1</v>
      </c>
      <c r="I120" t="s">
        <v>11</v>
      </c>
      <c r="J120" s="9">
        <f>J119</f>
        <v>45753</v>
      </c>
      <c r="K120" t="str">
        <f t="shared" si="1"/>
        <v>REGULAR</v>
      </c>
      <c r="N120" s="5" t="s">
        <v>724</v>
      </c>
      <c r="O120">
        <v>7</v>
      </c>
      <c r="P120">
        <v>8</v>
      </c>
      <c r="Q120">
        <v>57</v>
      </c>
      <c r="R120">
        <v>72</v>
      </c>
    </row>
    <row r="121" spans="1:18" hidden="1" x14ac:dyDescent="0.25">
      <c r="F121" t="s">
        <v>395</v>
      </c>
      <c r="G121" s="2">
        <v>1</v>
      </c>
      <c r="I121" t="s">
        <v>34</v>
      </c>
      <c r="J121" s="9">
        <f>J120</f>
        <v>45753</v>
      </c>
      <c r="K121" t="str">
        <f t="shared" si="1"/>
        <v>REGULAR</v>
      </c>
      <c r="N121" s="5" t="s">
        <v>368</v>
      </c>
      <c r="O121">
        <v>68</v>
      </c>
      <c r="P121">
        <v>79</v>
      </c>
      <c r="Q121">
        <v>420</v>
      </c>
      <c r="R121">
        <v>567</v>
      </c>
    </row>
    <row r="122" spans="1:18" hidden="1" x14ac:dyDescent="0.25">
      <c r="A122" t="s">
        <v>741</v>
      </c>
      <c r="B122" s="8">
        <v>45753</v>
      </c>
      <c r="C122" t="s">
        <v>724</v>
      </c>
      <c r="D122" t="s">
        <v>10</v>
      </c>
      <c r="E122" t="s">
        <v>623</v>
      </c>
      <c r="F122" t="s">
        <v>469</v>
      </c>
      <c r="G122" s="2">
        <v>1</v>
      </c>
      <c r="H122" s="2">
        <v>350</v>
      </c>
      <c r="I122" t="s">
        <v>34</v>
      </c>
      <c r="J122" s="9">
        <v>45753</v>
      </c>
      <c r="K122" t="str">
        <f t="shared" si="1"/>
        <v>REGULAR</v>
      </c>
    </row>
    <row r="123" spans="1:18" hidden="1" x14ac:dyDescent="0.25">
      <c r="F123" t="s">
        <v>733</v>
      </c>
      <c r="G123" s="2">
        <v>1</v>
      </c>
      <c r="I123" t="s">
        <v>34</v>
      </c>
      <c r="J123" s="9">
        <f>J122</f>
        <v>45753</v>
      </c>
      <c r="K123" t="str">
        <f t="shared" si="1"/>
        <v>REGULAR</v>
      </c>
    </row>
    <row r="124" spans="1:18" hidden="1" x14ac:dyDescent="0.25">
      <c r="A124" t="s">
        <v>742</v>
      </c>
      <c r="B124" s="8">
        <v>45753</v>
      </c>
      <c r="C124" t="s">
        <v>724</v>
      </c>
      <c r="D124" t="s">
        <v>10</v>
      </c>
      <c r="E124" t="s">
        <v>623</v>
      </c>
      <c r="F124" t="s">
        <v>721</v>
      </c>
      <c r="G124" s="2">
        <v>1</v>
      </c>
      <c r="H124" s="2">
        <v>345</v>
      </c>
      <c r="I124" t="s">
        <v>11</v>
      </c>
      <c r="J124" s="9">
        <v>45753</v>
      </c>
      <c r="K124" t="str">
        <f t="shared" si="1"/>
        <v>REGULAR</v>
      </c>
    </row>
    <row r="125" spans="1:18" hidden="1" x14ac:dyDescent="0.25">
      <c r="F125" t="s">
        <v>667</v>
      </c>
      <c r="G125" s="2">
        <v>1</v>
      </c>
      <c r="I125" t="s">
        <v>11</v>
      </c>
      <c r="J125" s="9">
        <f>J124</f>
        <v>45753</v>
      </c>
      <c r="K125" t="str">
        <f t="shared" si="1"/>
        <v>REGULAR</v>
      </c>
    </row>
    <row r="126" spans="1:18" hidden="1" x14ac:dyDescent="0.25">
      <c r="F126" t="s">
        <v>452</v>
      </c>
      <c r="G126" s="2">
        <v>1</v>
      </c>
      <c r="I126" t="s">
        <v>11</v>
      </c>
      <c r="J126" s="9">
        <f>J125</f>
        <v>45753</v>
      </c>
      <c r="K126" t="str">
        <f t="shared" si="1"/>
        <v>REGULAR</v>
      </c>
    </row>
    <row r="127" spans="1:18" hidden="1" x14ac:dyDescent="0.25">
      <c r="F127" t="s">
        <v>71</v>
      </c>
      <c r="G127" s="2">
        <v>1</v>
      </c>
      <c r="I127" t="s">
        <v>11</v>
      </c>
      <c r="J127" s="9">
        <f>J126</f>
        <v>45753</v>
      </c>
      <c r="K127" t="str">
        <f t="shared" si="1"/>
        <v>REGULAR</v>
      </c>
    </row>
    <row r="128" spans="1:18" hidden="1" x14ac:dyDescent="0.25">
      <c r="F128" t="s">
        <v>491</v>
      </c>
      <c r="G128" s="2">
        <v>1</v>
      </c>
      <c r="I128" t="s">
        <v>11</v>
      </c>
      <c r="J128" s="9">
        <f>J127</f>
        <v>45753</v>
      </c>
      <c r="K128" t="str">
        <f t="shared" si="1"/>
        <v>REGULAR</v>
      </c>
    </row>
    <row r="129" spans="1:15" hidden="1" x14ac:dyDescent="0.25">
      <c r="A129" t="s">
        <v>743</v>
      </c>
      <c r="B129" s="8">
        <v>45753</v>
      </c>
      <c r="C129" t="s">
        <v>724</v>
      </c>
      <c r="D129" t="s">
        <v>10</v>
      </c>
      <c r="E129" t="s">
        <v>623</v>
      </c>
      <c r="F129" t="s">
        <v>392</v>
      </c>
      <c r="G129" s="2">
        <v>1</v>
      </c>
      <c r="H129" s="2">
        <v>190</v>
      </c>
      <c r="I129" t="s">
        <v>34</v>
      </c>
      <c r="J129" s="9">
        <v>45753</v>
      </c>
      <c r="K129" t="str">
        <f t="shared" si="1"/>
        <v>REGULAR</v>
      </c>
    </row>
    <row r="130" spans="1:15" hidden="1" x14ac:dyDescent="0.25">
      <c r="A130" t="s">
        <v>744</v>
      </c>
      <c r="B130" s="8">
        <v>45753</v>
      </c>
      <c r="C130" t="s">
        <v>724</v>
      </c>
      <c r="D130" t="s">
        <v>10</v>
      </c>
      <c r="E130" t="s">
        <v>623</v>
      </c>
      <c r="F130" t="s">
        <v>395</v>
      </c>
      <c r="G130" s="2">
        <v>1</v>
      </c>
      <c r="H130" s="2">
        <v>670</v>
      </c>
      <c r="I130" t="s">
        <v>34</v>
      </c>
      <c r="J130" s="9">
        <v>45753</v>
      </c>
      <c r="K130" t="str">
        <f t="shared" ref="K130:K193" si="2">IF(E130&lt;&gt;"", E130, K129)</f>
        <v>REGULAR</v>
      </c>
    </row>
    <row r="131" spans="1:15" hidden="1" x14ac:dyDescent="0.25">
      <c r="F131" t="s">
        <v>733</v>
      </c>
      <c r="G131" s="2">
        <v>1</v>
      </c>
      <c r="I131" t="s">
        <v>34</v>
      </c>
      <c r="J131" s="9">
        <f>J130</f>
        <v>45753</v>
      </c>
      <c r="K131" t="str">
        <f t="shared" si="2"/>
        <v>REGULAR</v>
      </c>
    </row>
    <row r="132" spans="1:15" hidden="1" x14ac:dyDescent="0.25">
      <c r="F132" t="s">
        <v>745</v>
      </c>
      <c r="G132" s="2">
        <v>1</v>
      </c>
      <c r="I132" t="s">
        <v>34</v>
      </c>
      <c r="J132" s="9">
        <f>J131</f>
        <v>45753</v>
      </c>
      <c r="K132" t="str">
        <f t="shared" si="2"/>
        <v>REGULAR</v>
      </c>
    </row>
    <row r="133" spans="1:15" hidden="1" x14ac:dyDescent="0.25">
      <c r="A133" t="s">
        <v>746</v>
      </c>
      <c r="B133" s="8">
        <v>45753</v>
      </c>
      <c r="C133" t="s">
        <v>724</v>
      </c>
      <c r="D133" t="s">
        <v>10</v>
      </c>
      <c r="E133" t="s">
        <v>623</v>
      </c>
      <c r="F133" t="s">
        <v>469</v>
      </c>
      <c r="G133" s="2">
        <v>1</v>
      </c>
      <c r="H133" s="2">
        <v>340</v>
      </c>
      <c r="I133" t="s">
        <v>34</v>
      </c>
      <c r="J133" s="9">
        <v>45753</v>
      </c>
      <c r="K133" t="str">
        <f t="shared" si="2"/>
        <v>REGULAR</v>
      </c>
    </row>
    <row r="134" spans="1:15" hidden="1" x14ac:dyDescent="0.25">
      <c r="F134" t="s">
        <v>471</v>
      </c>
      <c r="G134" s="2">
        <v>1</v>
      </c>
      <c r="I134" t="s">
        <v>34</v>
      </c>
      <c r="J134" s="9">
        <f>J133</f>
        <v>45753</v>
      </c>
      <c r="K134" t="str">
        <f t="shared" si="2"/>
        <v>REGULAR</v>
      </c>
    </row>
    <row r="135" spans="1:15" hidden="1" x14ac:dyDescent="0.25">
      <c r="A135" t="s">
        <v>747</v>
      </c>
      <c r="B135" s="8">
        <v>45753</v>
      </c>
      <c r="C135" t="s">
        <v>724</v>
      </c>
      <c r="D135" t="s">
        <v>10</v>
      </c>
      <c r="E135" t="s">
        <v>623</v>
      </c>
      <c r="F135" t="s">
        <v>675</v>
      </c>
      <c r="G135" s="2">
        <v>1</v>
      </c>
      <c r="H135" s="2">
        <v>385</v>
      </c>
      <c r="I135" t="s">
        <v>11</v>
      </c>
      <c r="J135" s="9">
        <v>45753</v>
      </c>
      <c r="K135" t="str">
        <f t="shared" si="2"/>
        <v>REGULAR</v>
      </c>
      <c r="N135" s="28" t="s">
        <v>1362</v>
      </c>
      <c r="O135" s="28"/>
    </row>
    <row r="136" spans="1:15" hidden="1" x14ac:dyDescent="0.25">
      <c r="F136" t="s">
        <v>480</v>
      </c>
      <c r="G136" s="2">
        <v>1</v>
      </c>
      <c r="I136" t="s">
        <v>34</v>
      </c>
      <c r="J136" s="9">
        <f>J135</f>
        <v>45753</v>
      </c>
      <c r="K136" t="str">
        <f t="shared" si="2"/>
        <v>REGULAR</v>
      </c>
    </row>
    <row r="137" spans="1:15" hidden="1" x14ac:dyDescent="0.25">
      <c r="F137" t="s">
        <v>77</v>
      </c>
      <c r="G137" s="2">
        <v>1</v>
      </c>
      <c r="I137" t="s">
        <v>11</v>
      </c>
      <c r="J137" s="9">
        <f>J136</f>
        <v>45753</v>
      </c>
      <c r="K137" t="str">
        <f t="shared" si="2"/>
        <v>REGULAR</v>
      </c>
      <c r="N137" s="4" t="s">
        <v>363</v>
      </c>
      <c r="O137" t="s">
        <v>1344</v>
      </c>
    </row>
    <row r="138" spans="1:15" hidden="1" x14ac:dyDescent="0.25">
      <c r="A138" t="s">
        <v>749</v>
      </c>
      <c r="B138" s="8">
        <v>45753</v>
      </c>
      <c r="C138" t="s">
        <v>724</v>
      </c>
      <c r="D138" t="s">
        <v>10</v>
      </c>
      <c r="E138" t="s">
        <v>623</v>
      </c>
      <c r="F138" t="s">
        <v>745</v>
      </c>
      <c r="G138" s="2">
        <v>1</v>
      </c>
      <c r="H138" s="2">
        <v>635</v>
      </c>
      <c r="I138" t="s">
        <v>34</v>
      </c>
      <c r="J138" s="9">
        <v>45753</v>
      </c>
      <c r="K138" t="str">
        <f t="shared" si="2"/>
        <v>REGULAR</v>
      </c>
      <c r="N138" s="5" t="s">
        <v>607</v>
      </c>
      <c r="O138">
        <v>86</v>
      </c>
    </row>
    <row r="139" spans="1:15" hidden="1" x14ac:dyDescent="0.25">
      <c r="F139" t="s">
        <v>71</v>
      </c>
      <c r="G139" s="2">
        <v>1</v>
      </c>
      <c r="I139" t="s">
        <v>11</v>
      </c>
      <c r="J139" s="9">
        <f>J138</f>
        <v>45753</v>
      </c>
      <c r="K139" t="str">
        <f t="shared" si="2"/>
        <v>REGULAR</v>
      </c>
      <c r="N139" s="18" t="s">
        <v>614</v>
      </c>
      <c r="O139">
        <v>10</v>
      </c>
    </row>
    <row r="140" spans="1:15" hidden="1" x14ac:dyDescent="0.25">
      <c r="F140" t="s">
        <v>480</v>
      </c>
      <c r="G140" s="2">
        <v>1</v>
      </c>
      <c r="I140" t="s">
        <v>34</v>
      </c>
      <c r="J140" s="9">
        <f>J139</f>
        <v>45753</v>
      </c>
      <c r="K140" t="str">
        <f t="shared" si="2"/>
        <v>REGULAR</v>
      </c>
      <c r="N140" s="18" t="s">
        <v>957</v>
      </c>
      <c r="O140">
        <v>10</v>
      </c>
    </row>
    <row r="141" spans="1:15" hidden="1" x14ac:dyDescent="0.25">
      <c r="A141" t="s">
        <v>751</v>
      </c>
      <c r="B141" s="8">
        <v>45753</v>
      </c>
      <c r="C141" t="s">
        <v>724</v>
      </c>
      <c r="D141" t="s">
        <v>10</v>
      </c>
      <c r="E141" t="s">
        <v>623</v>
      </c>
      <c r="F141" t="s">
        <v>752</v>
      </c>
      <c r="G141" s="2">
        <v>1</v>
      </c>
      <c r="H141" s="2">
        <v>180</v>
      </c>
      <c r="I141" t="s">
        <v>34</v>
      </c>
      <c r="J141" s="9">
        <v>45753</v>
      </c>
      <c r="K141" t="str">
        <f t="shared" si="2"/>
        <v>REGULAR</v>
      </c>
      <c r="N141" s="18" t="s">
        <v>658</v>
      </c>
      <c r="O141">
        <v>9</v>
      </c>
    </row>
    <row r="142" spans="1:15" x14ac:dyDescent="0.25">
      <c r="A142" t="s">
        <v>753</v>
      </c>
      <c r="B142" s="8">
        <v>45754</v>
      </c>
      <c r="C142" t="s">
        <v>736</v>
      </c>
      <c r="D142" t="s">
        <v>10</v>
      </c>
      <c r="E142" t="s">
        <v>607</v>
      </c>
      <c r="F142" t="s">
        <v>754</v>
      </c>
      <c r="G142" s="2">
        <v>1</v>
      </c>
      <c r="H142" s="2">
        <v>129</v>
      </c>
      <c r="I142" t="s">
        <v>11</v>
      </c>
      <c r="J142" s="9">
        <v>45754</v>
      </c>
      <c r="K142" t="str">
        <f t="shared" si="2"/>
        <v>SUBSCRIPTION</v>
      </c>
      <c r="N142" s="18" t="s">
        <v>993</v>
      </c>
      <c r="O142">
        <v>9</v>
      </c>
    </row>
    <row r="143" spans="1:15" x14ac:dyDescent="0.25">
      <c r="A143" t="s">
        <v>755</v>
      </c>
      <c r="B143" s="8">
        <v>45754</v>
      </c>
      <c r="C143" t="s">
        <v>736</v>
      </c>
      <c r="D143" t="s">
        <v>18</v>
      </c>
      <c r="E143" t="s">
        <v>607</v>
      </c>
      <c r="F143" t="s">
        <v>756</v>
      </c>
      <c r="G143" s="2">
        <v>1</v>
      </c>
      <c r="H143" s="2">
        <v>79</v>
      </c>
      <c r="I143" t="s">
        <v>11</v>
      </c>
      <c r="J143" s="9">
        <v>45754</v>
      </c>
      <c r="K143" t="str">
        <f t="shared" si="2"/>
        <v>SUBSCRIPTION</v>
      </c>
      <c r="N143" s="18" t="s">
        <v>937</v>
      </c>
      <c r="O143">
        <v>8</v>
      </c>
    </row>
    <row r="144" spans="1:15" x14ac:dyDescent="0.25">
      <c r="A144" t="s">
        <v>757</v>
      </c>
      <c r="B144" s="8">
        <v>45754</v>
      </c>
      <c r="C144" t="s">
        <v>736</v>
      </c>
      <c r="D144" t="s">
        <v>10</v>
      </c>
      <c r="E144" t="s">
        <v>607</v>
      </c>
      <c r="F144" t="s">
        <v>921</v>
      </c>
      <c r="G144" s="2">
        <v>2</v>
      </c>
      <c r="H144" s="2">
        <f>2*79</f>
        <v>158</v>
      </c>
      <c r="I144" t="s">
        <v>11</v>
      </c>
      <c r="J144" s="9">
        <v>45754</v>
      </c>
      <c r="K144" t="str">
        <f t="shared" si="2"/>
        <v>SUBSCRIPTION</v>
      </c>
      <c r="N144" s="18" t="s">
        <v>1009</v>
      </c>
      <c r="O144">
        <v>8</v>
      </c>
    </row>
    <row r="145" spans="1:15" x14ac:dyDescent="0.25">
      <c r="A145" t="s">
        <v>758</v>
      </c>
      <c r="B145" s="8">
        <v>45754</v>
      </c>
      <c r="C145" t="s">
        <v>736</v>
      </c>
      <c r="D145" t="s">
        <v>10</v>
      </c>
      <c r="E145" t="s">
        <v>607</v>
      </c>
      <c r="F145" t="s">
        <v>759</v>
      </c>
      <c r="G145" s="2">
        <v>1</v>
      </c>
      <c r="H145" s="2">
        <v>99</v>
      </c>
      <c r="I145" t="s">
        <v>11</v>
      </c>
      <c r="J145" s="9">
        <v>45754</v>
      </c>
      <c r="K145" t="str">
        <f t="shared" si="2"/>
        <v>SUBSCRIPTION</v>
      </c>
      <c r="N145" s="18" t="s">
        <v>988</v>
      </c>
      <c r="O145">
        <v>8</v>
      </c>
    </row>
    <row r="146" spans="1:15" x14ac:dyDescent="0.25">
      <c r="A146" t="s">
        <v>760</v>
      </c>
      <c r="B146" s="8">
        <v>45754</v>
      </c>
      <c r="C146" t="s">
        <v>736</v>
      </c>
      <c r="D146" t="s">
        <v>10</v>
      </c>
      <c r="E146" t="s">
        <v>607</v>
      </c>
      <c r="F146" t="s">
        <v>756</v>
      </c>
      <c r="G146" s="2">
        <v>1</v>
      </c>
      <c r="H146" s="2">
        <v>79</v>
      </c>
      <c r="I146" t="s">
        <v>11</v>
      </c>
      <c r="J146" s="9">
        <v>45754</v>
      </c>
      <c r="K146" t="str">
        <f t="shared" si="2"/>
        <v>SUBSCRIPTION</v>
      </c>
      <c r="N146" s="18" t="s">
        <v>820</v>
      </c>
      <c r="O146">
        <v>8</v>
      </c>
    </row>
    <row r="147" spans="1:15" x14ac:dyDescent="0.25">
      <c r="A147" t="s">
        <v>761</v>
      </c>
      <c r="B147" s="8">
        <v>45754</v>
      </c>
      <c r="C147" t="s">
        <v>736</v>
      </c>
      <c r="D147" t="s">
        <v>10</v>
      </c>
      <c r="E147" t="s">
        <v>607</v>
      </c>
      <c r="F147" t="s">
        <v>762</v>
      </c>
      <c r="G147" s="2">
        <v>1</v>
      </c>
      <c r="H147" s="2">
        <v>117</v>
      </c>
      <c r="I147" t="s">
        <v>34</v>
      </c>
      <c r="J147" s="9">
        <v>45754</v>
      </c>
      <c r="K147" t="str">
        <f t="shared" si="2"/>
        <v>SUBSCRIPTION</v>
      </c>
      <c r="N147" s="18" t="s">
        <v>903</v>
      </c>
      <c r="O147">
        <v>8</v>
      </c>
    </row>
    <row r="148" spans="1:15" x14ac:dyDescent="0.25">
      <c r="A148" t="s">
        <v>763</v>
      </c>
      <c r="B148" s="8">
        <v>45754</v>
      </c>
      <c r="C148" t="s">
        <v>736</v>
      </c>
      <c r="D148" t="s">
        <v>10</v>
      </c>
      <c r="E148" t="s">
        <v>607</v>
      </c>
      <c r="F148" t="s">
        <v>759</v>
      </c>
      <c r="G148" s="2">
        <v>1</v>
      </c>
      <c r="H148" s="2">
        <v>99</v>
      </c>
      <c r="I148" t="s">
        <v>11</v>
      </c>
      <c r="J148" s="9">
        <v>45754</v>
      </c>
      <c r="K148" t="str">
        <f t="shared" si="2"/>
        <v>SUBSCRIPTION</v>
      </c>
      <c r="N148" s="18" t="s">
        <v>952</v>
      </c>
      <c r="O148">
        <v>8</v>
      </c>
    </row>
    <row r="149" spans="1:15" x14ac:dyDescent="0.25">
      <c r="A149" t="s">
        <v>764</v>
      </c>
      <c r="B149" s="8">
        <v>45754</v>
      </c>
      <c r="C149" t="s">
        <v>736</v>
      </c>
      <c r="D149" t="s">
        <v>10</v>
      </c>
      <c r="E149" t="s">
        <v>607</v>
      </c>
      <c r="F149" t="s">
        <v>765</v>
      </c>
      <c r="G149" s="2">
        <v>1</v>
      </c>
      <c r="H149" s="2">
        <v>117</v>
      </c>
      <c r="I149" t="s">
        <v>11</v>
      </c>
      <c r="J149" s="9">
        <v>45754</v>
      </c>
      <c r="K149" t="str">
        <f t="shared" si="2"/>
        <v>SUBSCRIPTION</v>
      </c>
      <c r="N149" s="5" t="s">
        <v>623</v>
      </c>
      <c r="O149">
        <v>211</v>
      </c>
    </row>
    <row r="150" spans="1:15" x14ac:dyDescent="0.25">
      <c r="A150" t="s">
        <v>766</v>
      </c>
      <c r="B150" s="8">
        <v>45754</v>
      </c>
      <c r="C150" t="s">
        <v>736</v>
      </c>
      <c r="D150" t="s">
        <v>10</v>
      </c>
      <c r="E150" t="s">
        <v>607</v>
      </c>
      <c r="F150" t="s">
        <v>765</v>
      </c>
      <c r="G150" s="2">
        <v>1</v>
      </c>
      <c r="H150" s="2">
        <v>117</v>
      </c>
      <c r="I150" t="s">
        <v>11</v>
      </c>
      <c r="J150" s="9">
        <v>45754</v>
      </c>
      <c r="K150" t="str">
        <f t="shared" si="2"/>
        <v>SUBSCRIPTION</v>
      </c>
      <c r="N150" s="18" t="s">
        <v>428</v>
      </c>
      <c r="O150">
        <v>32</v>
      </c>
    </row>
    <row r="151" spans="1:15" x14ac:dyDescent="0.25">
      <c r="A151" t="s">
        <v>767</v>
      </c>
      <c r="B151" s="8">
        <v>45754</v>
      </c>
      <c r="C151" t="s">
        <v>736</v>
      </c>
      <c r="D151" t="s">
        <v>10</v>
      </c>
      <c r="E151" t="s">
        <v>607</v>
      </c>
      <c r="F151" t="s">
        <v>768</v>
      </c>
      <c r="G151" s="2">
        <v>2</v>
      </c>
      <c r="H151" s="2">
        <f>2*99</f>
        <v>198</v>
      </c>
      <c r="I151" t="s">
        <v>11</v>
      </c>
      <c r="J151" s="9">
        <v>45754</v>
      </c>
      <c r="K151" t="str">
        <f t="shared" si="2"/>
        <v>SUBSCRIPTION</v>
      </c>
      <c r="N151" s="18" t="s">
        <v>392</v>
      </c>
      <c r="O151">
        <v>25</v>
      </c>
    </row>
    <row r="152" spans="1:15" hidden="1" x14ac:dyDescent="0.25">
      <c r="A152" t="s">
        <v>769</v>
      </c>
      <c r="B152" s="8">
        <v>45754</v>
      </c>
      <c r="C152" t="s">
        <v>736</v>
      </c>
      <c r="D152" t="s">
        <v>10</v>
      </c>
      <c r="E152" t="s">
        <v>623</v>
      </c>
      <c r="F152" t="s">
        <v>392</v>
      </c>
      <c r="G152" s="2">
        <v>2</v>
      </c>
      <c r="H152" s="2">
        <v>680</v>
      </c>
      <c r="I152" t="s">
        <v>34</v>
      </c>
      <c r="J152" s="9">
        <v>45754</v>
      </c>
      <c r="K152" t="str">
        <f t="shared" si="2"/>
        <v>REGULAR</v>
      </c>
      <c r="N152" s="18" t="s">
        <v>492</v>
      </c>
      <c r="O152">
        <v>22</v>
      </c>
    </row>
    <row r="153" spans="1:15" hidden="1" x14ac:dyDescent="0.25">
      <c r="F153" t="s">
        <v>395</v>
      </c>
      <c r="G153" s="2">
        <v>2</v>
      </c>
      <c r="I153" t="s">
        <v>34</v>
      </c>
      <c r="J153" s="9">
        <f>J152</f>
        <v>45754</v>
      </c>
      <c r="K153" t="str">
        <f t="shared" si="2"/>
        <v>REGULAR</v>
      </c>
      <c r="N153" s="18" t="s">
        <v>395</v>
      </c>
      <c r="O153">
        <v>22</v>
      </c>
    </row>
    <row r="154" spans="1:15" hidden="1" x14ac:dyDescent="0.25">
      <c r="F154" t="s">
        <v>434</v>
      </c>
      <c r="G154" s="2">
        <v>1</v>
      </c>
      <c r="I154" t="s">
        <v>11</v>
      </c>
      <c r="J154" s="9">
        <f>J153</f>
        <v>45754</v>
      </c>
      <c r="K154" t="str">
        <f t="shared" si="2"/>
        <v>REGULAR</v>
      </c>
      <c r="N154" s="18" t="s">
        <v>675</v>
      </c>
      <c r="O154">
        <v>20</v>
      </c>
    </row>
    <row r="155" spans="1:15" hidden="1" x14ac:dyDescent="0.25">
      <c r="F155" t="s">
        <v>492</v>
      </c>
      <c r="G155" s="2">
        <v>1</v>
      </c>
      <c r="I155" t="s">
        <v>11</v>
      </c>
      <c r="J155" s="9">
        <f>J154</f>
        <v>45754</v>
      </c>
      <c r="K155" t="str">
        <f t="shared" si="2"/>
        <v>REGULAR</v>
      </c>
      <c r="N155" s="18" t="s">
        <v>391</v>
      </c>
      <c r="O155">
        <v>20</v>
      </c>
    </row>
    <row r="156" spans="1:15" hidden="1" x14ac:dyDescent="0.25">
      <c r="A156" t="s">
        <v>770</v>
      </c>
      <c r="B156" s="8">
        <v>45754</v>
      </c>
      <c r="C156" t="s">
        <v>736</v>
      </c>
      <c r="D156" t="s">
        <v>10</v>
      </c>
      <c r="E156" t="s">
        <v>623</v>
      </c>
      <c r="F156" t="s">
        <v>471</v>
      </c>
      <c r="G156" s="2">
        <v>1</v>
      </c>
      <c r="H156" s="2">
        <v>340</v>
      </c>
      <c r="I156" t="s">
        <v>34</v>
      </c>
      <c r="J156" s="9">
        <v>45754</v>
      </c>
      <c r="K156" t="str">
        <f t="shared" si="2"/>
        <v>REGULAR</v>
      </c>
      <c r="N156" s="18" t="s">
        <v>71</v>
      </c>
      <c r="O156">
        <v>20</v>
      </c>
    </row>
    <row r="157" spans="1:15" hidden="1" x14ac:dyDescent="0.25">
      <c r="F157" t="s">
        <v>470</v>
      </c>
      <c r="G157" s="2">
        <v>1</v>
      </c>
      <c r="I157" t="s">
        <v>34</v>
      </c>
      <c r="J157" s="9">
        <f>J156</f>
        <v>45754</v>
      </c>
      <c r="K157" t="str">
        <f t="shared" si="2"/>
        <v>REGULAR</v>
      </c>
      <c r="N157" s="18" t="s">
        <v>667</v>
      </c>
      <c r="O157">
        <v>18</v>
      </c>
    </row>
    <row r="158" spans="1:15" hidden="1" x14ac:dyDescent="0.25">
      <c r="A158" t="s">
        <v>771</v>
      </c>
      <c r="B158" s="8">
        <v>45754</v>
      </c>
      <c r="C158" t="s">
        <v>736</v>
      </c>
      <c r="D158" t="s">
        <v>10</v>
      </c>
      <c r="E158" t="s">
        <v>623</v>
      </c>
      <c r="F158" t="s">
        <v>404</v>
      </c>
      <c r="G158" s="2">
        <v>2</v>
      </c>
      <c r="H158" s="2">
        <v>220</v>
      </c>
      <c r="I158" t="s">
        <v>34</v>
      </c>
      <c r="J158" s="9">
        <v>45754</v>
      </c>
      <c r="K158" t="str">
        <f t="shared" si="2"/>
        <v>REGULAR</v>
      </c>
      <c r="N158" s="18" t="s">
        <v>488</v>
      </c>
      <c r="O158">
        <v>16</v>
      </c>
    </row>
    <row r="159" spans="1:15" hidden="1" x14ac:dyDescent="0.25">
      <c r="F159" t="s">
        <v>772</v>
      </c>
      <c r="G159" s="2">
        <v>1</v>
      </c>
      <c r="I159" t="s">
        <v>11</v>
      </c>
      <c r="J159" s="9">
        <f>J158</f>
        <v>45754</v>
      </c>
      <c r="K159" t="str">
        <f t="shared" si="2"/>
        <v>REGULAR</v>
      </c>
      <c r="N159" s="18" t="s">
        <v>789</v>
      </c>
      <c r="O159">
        <v>16</v>
      </c>
    </row>
    <row r="160" spans="1:15" hidden="1" x14ac:dyDescent="0.25">
      <c r="A160" t="s">
        <v>773</v>
      </c>
      <c r="B160" s="8">
        <v>45754</v>
      </c>
      <c r="C160" t="s">
        <v>736</v>
      </c>
      <c r="D160" t="s">
        <v>10</v>
      </c>
      <c r="E160" t="s">
        <v>623</v>
      </c>
      <c r="F160" t="s">
        <v>469</v>
      </c>
      <c r="G160" s="2">
        <v>1</v>
      </c>
      <c r="H160" s="2">
        <v>310</v>
      </c>
      <c r="I160" t="s">
        <v>34</v>
      </c>
      <c r="J160" s="9">
        <v>45754</v>
      </c>
      <c r="K160" t="str">
        <f t="shared" si="2"/>
        <v>REGULAR</v>
      </c>
      <c r="N160" s="5" t="s">
        <v>368</v>
      </c>
      <c r="O160">
        <v>297</v>
      </c>
    </row>
    <row r="161" spans="1:15" hidden="1" x14ac:dyDescent="0.25">
      <c r="F161" t="s">
        <v>386</v>
      </c>
      <c r="G161" s="2">
        <v>1</v>
      </c>
      <c r="I161" t="s">
        <v>34</v>
      </c>
      <c r="J161" s="9">
        <f>J160</f>
        <v>45754</v>
      </c>
      <c r="K161" t="str">
        <f t="shared" si="2"/>
        <v>REGULAR</v>
      </c>
    </row>
    <row r="162" spans="1:15" hidden="1" x14ac:dyDescent="0.25">
      <c r="A162" t="s">
        <v>774</v>
      </c>
      <c r="B162" s="8">
        <v>45754</v>
      </c>
      <c r="C162" t="s">
        <v>736</v>
      </c>
      <c r="D162" t="s">
        <v>10</v>
      </c>
      <c r="E162" t="s">
        <v>623</v>
      </c>
      <c r="F162" t="s">
        <v>451</v>
      </c>
      <c r="G162" s="2">
        <v>2</v>
      </c>
      <c r="H162" s="2">
        <v>325</v>
      </c>
      <c r="I162" t="s">
        <v>11</v>
      </c>
      <c r="J162" s="9">
        <v>45754</v>
      </c>
      <c r="K162" t="str">
        <f t="shared" si="2"/>
        <v>REGULAR</v>
      </c>
    </row>
    <row r="163" spans="1:15" hidden="1" x14ac:dyDescent="0.25">
      <c r="F163" t="s">
        <v>71</v>
      </c>
      <c r="G163" s="2">
        <v>1</v>
      </c>
      <c r="I163" t="s">
        <v>11</v>
      </c>
      <c r="J163" s="9">
        <f>J162</f>
        <v>45754</v>
      </c>
      <c r="K163" t="str">
        <f t="shared" si="2"/>
        <v>REGULAR</v>
      </c>
    </row>
    <row r="164" spans="1:15" hidden="1" x14ac:dyDescent="0.25">
      <c r="A164" t="s">
        <v>775</v>
      </c>
      <c r="B164" s="8">
        <v>45754</v>
      </c>
      <c r="C164" t="s">
        <v>736</v>
      </c>
      <c r="D164" t="s">
        <v>10</v>
      </c>
      <c r="E164" t="s">
        <v>623</v>
      </c>
      <c r="F164" t="s">
        <v>431</v>
      </c>
      <c r="G164" s="2">
        <v>1</v>
      </c>
      <c r="H164" s="2">
        <v>705</v>
      </c>
      <c r="I164" t="s">
        <v>34</v>
      </c>
      <c r="J164" s="9">
        <v>45754</v>
      </c>
      <c r="K164" t="str">
        <f t="shared" si="2"/>
        <v>REGULAR</v>
      </c>
    </row>
    <row r="165" spans="1:15" hidden="1" x14ac:dyDescent="0.25">
      <c r="F165" t="s">
        <v>392</v>
      </c>
      <c r="G165" s="2">
        <v>2</v>
      </c>
      <c r="I165" t="s">
        <v>34</v>
      </c>
      <c r="J165" s="9">
        <f>J164</f>
        <v>45754</v>
      </c>
      <c r="K165" t="str">
        <f t="shared" si="2"/>
        <v>REGULAR</v>
      </c>
    </row>
    <row r="166" spans="1:15" hidden="1" x14ac:dyDescent="0.25">
      <c r="F166" t="s">
        <v>71</v>
      </c>
      <c r="G166" s="2">
        <v>1</v>
      </c>
      <c r="I166" t="s">
        <v>11</v>
      </c>
      <c r="J166" s="9">
        <f>J165</f>
        <v>45754</v>
      </c>
      <c r="K166" t="str">
        <f t="shared" si="2"/>
        <v>REGULAR</v>
      </c>
    </row>
    <row r="167" spans="1:15" hidden="1" x14ac:dyDescent="0.25">
      <c r="F167" t="s">
        <v>451</v>
      </c>
      <c r="G167" s="2">
        <v>1</v>
      </c>
      <c r="I167" t="s">
        <v>11</v>
      </c>
      <c r="J167" s="9">
        <f>J166</f>
        <v>45754</v>
      </c>
      <c r="K167" t="str">
        <f t="shared" si="2"/>
        <v>REGULAR</v>
      </c>
    </row>
    <row r="168" spans="1:15" x14ac:dyDescent="0.25">
      <c r="A168" t="s">
        <v>776</v>
      </c>
      <c r="B168" s="8">
        <v>45755</v>
      </c>
      <c r="C168" t="s">
        <v>606</v>
      </c>
      <c r="D168" t="s">
        <v>10</v>
      </c>
      <c r="E168" t="s">
        <v>607</v>
      </c>
      <c r="F168" t="s">
        <v>937</v>
      </c>
      <c r="G168" s="2">
        <v>1</v>
      </c>
      <c r="H168" s="2">
        <v>129</v>
      </c>
      <c r="I168" t="s">
        <v>34</v>
      </c>
      <c r="J168" s="9">
        <v>45755</v>
      </c>
      <c r="K168" t="str">
        <f t="shared" si="2"/>
        <v>SUBSCRIPTION</v>
      </c>
    </row>
    <row r="169" spans="1:15" x14ac:dyDescent="0.25">
      <c r="A169" t="s">
        <v>777</v>
      </c>
      <c r="B169" s="8">
        <v>45755</v>
      </c>
      <c r="C169" t="s">
        <v>606</v>
      </c>
      <c r="D169" t="s">
        <v>10</v>
      </c>
      <c r="E169" t="s">
        <v>607</v>
      </c>
      <c r="F169" t="s">
        <v>937</v>
      </c>
      <c r="G169" s="2">
        <v>1</v>
      </c>
      <c r="H169" s="2">
        <v>129</v>
      </c>
      <c r="I169" t="s">
        <v>34</v>
      </c>
      <c r="J169" s="9">
        <v>45755</v>
      </c>
      <c r="K169" t="str">
        <f t="shared" si="2"/>
        <v>SUBSCRIPTION</v>
      </c>
      <c r="N169" s="28" t="s">
        <v>1363</v>
      </c>
      <c r="O169" s="28"/>
    </row>
    <row r="170" spans="1:15" x14ac:dyDescent="0.25">
      <c r="A170" t="s">
        <v>778</v>
      </c>
      <c r="B170" s="8">
        <v>45755</v>
      </c>
      <c r="C170" t="s">
        <v>606</v>
      </c>
      <c r="D170" t="s">
        <v>10</v>
      </c>
      <c r="E170" t="s">
        <v>607</v>
      </c>
      <c r="F170" t="s">
        <v>937</v>
      </c>
      <c r="G170" s="2">
        <v>1</v>
      </c>
      <c r="H170" s="2">
        <v>129</v>
      </c>
      <c r="I170" t="s">
        <v>34</v>
      </c>
      <c r="J170" s="9">
        <v>45755</v>
      </c>
      <c r="K170" t="str">
        <f t="shared" si="2"/>
        <v>SUBSCRIPTION</v>
      </c>
    </row>
    <row r="171" spans="1:15" x14ac:dyDescent="0.25">
      <c r="A171" t="s">
        <v>779</v>
      </c>
      <c r="B171" s="8">
        <v>45755</v>
      </c>
      <c r="C171" t="s">
        <v>606</v>
      </c>
      <c r="D171" t="s">
        <v>10</v>
      </c>
      <c r="E171" t="s">
        <v>607</v>
      </c>
      <c r="F171" t="s">
        <v>1266</v>
      </c>
      <c r="G171" s="2">
        <v>2</v>
      </c>
      <c r="H171" s="2">
        <f>99*Table5[[#This Row],[QUANTITY]]</f>
        <v>198</v>
      </c>
      <c r="I171" t="s">
        <v>11</v>
      </c>
      <c r="J171" s="9">
        <v>45755</v>
      </c>
      <c r="K171" t="str">
        <f t="shared" si="2"/>
        <v>SUBSCRIPTION</v>
      </c>
      <c r="N171" s="4" t="s">
        <v>363</v>
      </c>
      <c r="O171" t="s">
        <v>1364</v>
      </c>
    </row>
    <row r="172" spans="1:15" x14ac:dyDescent="0.25">
      <c r="A172" t="s">
        <v>780</v>
      </c>
      <c r="B172" s="8">
        <v>45755</v>
      </c>
      <c r="C172" t="s">
        <v>606</v>
      </c>
      <c r="D172" t="s">
        <v>18</v>
      </c>
      <c r="E172" t="s">
        <v>607</v>
      </c>
      <c r="F172" t="s">
        <v>610</v>
      </c>
      <c r="G172" s="2">
        <v>1</v>
      </c>
      <c r="H172" s="2">
        <v>117</v>
      </c>
      <c r="I172" t="s">
        <v>34</v>
      </c>
      <c r="J172" s="9">
        <v>45755</v>
      </c>
      <c r="K172" t="str">
        <f t="shared" si="2"/>
        <v>SUBSCRIPTION</v>
      </c>
      <c r="N172" s="5" t="s">
        <v>34</v>
      </c>
      <c r="O172">
        <v>386</v>
      </c>
    </row>
    <row r="173" spans="1:15" x14ac:dyDescent="0.25">
      <c r="A173" t="s">
        <v>781</v>
      </c>
      <c r="B173" s="8">
        <v>45755</v>
      </c>
      <c r="C173" t="s">
        <v>606</v>
      </c>
      <c r="D173" t="s">
        <v>21</v>
      </c>
      <c r="E173" t="s">
        <v>607</v>
      </c>
      <c r="F173" t="s">
        <v>940</v>
      </c>
      <c r="G173" s="2">
        <v>1</v>
      </c>
      <c r="H173" s="2">
        <v>99</v>
      </c>
      <c r="I173" t="s">
        <v>11</v>
      </c>
      <c r="J173" s="9">
        <v>45755</v>
      </c>
      <c r="K173" t="str">
        <f t="shared" si="2"/>
        <v>SUBSCRIPTION</v>
      </c>
      <c r="N173" s="5" t="s">
        <v>11</v>
      </c>
      <c r="O173">
        <v>494</v>
      </c>
    </row>
    <row r="174" spans="1:15" x14ac:dyDescent="0.25">
      <c r="A174" t="s">
        <v>782</v>
      </c>
      <c r="B174" s="8">
        <v>45755</v>
      </c>
      <c r="C174" t="s">
        <v>606</v>
      </c>
      <c r="D174" t="s">
        <v>10</v>
      </c>
      <c r="E174" t="s">
        <v>607</v>
      </c>
      <c r="F174" t="s">
        <v>783</v>
      </c>
      <c r="G174" s="2">
        <v>1</v>
      </c>
      <c r="H174" s="2">
        <v>129</v>
      </c>
      <c r="I174" t="s">
        <v>11</v>
      </c>
      <c r="J174" s="9">
        <v>45755</v>
      </c>
      <c r="K174" t="str">
        <f t="shared" si="2"/>
        <v>SUBSCRIPTION</v>
      </c>
      <c r="N174" s="5" t="s">
        <v>368</v>
      </c>
      <c r="O174">
        <v>880</v>
      </c>
    </row>
    <row r="175" spans="1:15" x14ac:dyDescent="0.25">
      <c r="A175" t="s">
        <v>784</v>
      </c>
      <c r="B175" s="8">
        <v>45755</v>
      </c>
      <c r="C175" t="s">
        <v>606</v>
      </c>
      <c r="D175" t="s">
        <v>18</v>
      </c>
      <c r="E175" t="s">
        <v>607</v>
      </c>
      <c r="F175" t="s">
        <v>614</v>
      </c>
      <c r="G175" s="2">
        <v>1</v>
      </c>
      <c r="H175" s="2">
        <v>99</v>
      </c>
      <c r="I175" t="s">
        <v>11</v>
      </c>
      <c r="J175" s="9">
        <v>45755</v>
      </c>
      <c r="K175" t="str">
        <f t="shared" si="2"/>
        <v>SUBSCRIPTION</v>
      </c>
    </row>
    <row r="176" spans="1:15" x14ac:dyDescent="0.25">
      <c r="A176" t="s">
        <v>785</v>
      </c>
      <c r="B176" s="8">
        <v>45755</v>
      </c>
      <c r="C176" t="s">
        <v>606</v>
      </c>
      <c r="D176" t="s">
        <v>18</v>
      </c>
      <c r="E176" t="s">
        <v>607</v>
      </c>
      <c r="F176" t="s">
        <v>614</v>
      </c>
      <c r="G176" s="2">
        <v>1</v>
      </c>
      <c r="H176" s="2">
        <v>99</v>
      </c>
      <c r="I176" t="s">
        <v>11</v>
      </c>
      <c r="J176" s="9">
        <v>45755</v>
      </c>
      <c r="K176" t="str">
        <f t="shared" si="2"/>
        <v>SUBSCRIPTION</v>
      </c>
    </row>
    <row r="177" spans="1:16" hidden="1" x14ac:dyDescent="0.25">
      <c r="A177" t="s">
        <v>786</v>
      </c>
      <c r="B177" s="8">
        <v>45755</v>
      </c>
      <c r="C177" t="s">
        <v>606</v>
      </c>
      <c r="D177" t="s">
        <v>10</v>
      </c>
      <c r="E177" t="s">
        <v>623</v>
      </c>
      <c r="F177" t="s">
        <v>721</v>
      </c>
      <c r="G177" s="2">
        <v>1</v>
      </c>
      <c r="H177" s="2">
        <v>280</v>
      </c>
      <c r="I177" t="s">
        <v>11</v>
      </c>
      <c r="J177" s="9">
        <v>45755</v>
      </c>
      <c r="K177" t="str">
        <f t="shared" si="2"/>
        <v>REGULAR</v>
      </c>
    </row>
    <row r="178" spans="1:16" hidden="1" x14ac:dyDescent="0.25">
      <c r="F178" t="s">
        <v>432</v>
      </c>
      <c r="G178" s="2">
        <v>1</v>
      </c>
      <c r="I178" t="s">
        <v>11</v>
      </c>
      <c r="J178" s="9">
        <f>J177</f>
        <v>45755</v>
      </c>
      <c r="K178" t="str">
        <f t="shared" si="2"/>
        <v>REGULAR</v>
      </c>
    </row>
    <row r="179" spans="1:16" hidden="1" x14ac:dyDescent="0.25">
      <c r="F179" t="s">
        <v>492</v>
      </c>
      <c r="G179" s="2">
        <v>1</v>
      </c>
      <c r="I179" t="s">
        <v>11</v>
      </c>
      <c r="J179" s="9">
        <f>J178</f>
        <v>45755</v>
      </c>
      <c r="K179" t="str">
        <f t="shared" si="2"/>
        <v>REGULAR</v>
      </c>
    </row>
    <row r="180" spans="1:16" hidden="1" x14ac:dyDescent="0.25">
      <c r="A180" t="s">
        <v>787</v>
      </c>
      <c r="B180" s="8">
        <v>45755</v>
      </c>
      <c r="C180" t="s">
        <v>606</v>
      </c>
      <c r="D180" t="s">
        <v>10</v>
      </c>
      <c r="E180" t="s">
        <v>623</v>
      </c>
      <c r="F180" t="s">
        <v>438</v>
      </c>
      <c r="G180" s="2">
        <v>1</v>
      </c>
      <c r="H180" s="2">
        <v>430</v>
      </c>
      <c r="I180" t="s">
        <v>34</v>
      </c>
      <c r="J180" s="9">
        <v>45755</v>
      </c>
      <c r="K180" t="str">
        <f t="shared" si="2"/>
        <v>REGULAR</v>
      </c>
    </row>
    <row r="181" spans="1:16" hidden="1" x14ac:dyDescent="0.25">
      <c r="F181" t="s">
        <v>391</v>
      </c>
      <c r="G181" s="2">
        <v>1</v>
      </c>
      <c r="I181" t="s">
        <v>34</v>
      </c>
      <c r="J181" s="9">
        <f>J180</f>
        <v>45755</v>
      </c>
      <c r="K181" t="str">
        <f t="shared" si="2"/>
        <v>REGULAR</v>
      </c>
    </row>
    <row r="182" spans="1:16" hidden="1" x14ac:dyDescent="0.25">
      <c r="A182" t="s">
        <v>788</v>
      </c>
      <c r="B182" s="8">
        <v>45755</v>
      </c>
      <c r="C182" t="s">
        <v>606</v>
      </c>
      <c r="D182" t="s">
        <v>10</v>
      </c>
      <c r="E182" t="s">
        <v>623</v>
      </c>
      <c r="F182" t="s">
        <v>428</v>
      </c>
      <c r="G182" s="2">
        <v>1</v>
      </c>
      <c r="H182" s="2">
        <v>260</v>
      </c>
      <c r="I182" t="s">
        <v>11</v>
      </c>
      <c r="J182" s="9">
        <v>45755</v>
      </c>
      <c r="K182" t="str">
        <f t="shared" si="2"/>
        <v>REGULAR</v>
      </c>
    </row>
    <row r="183" spans="1:16" hidden="1" x14ac:dyDescent="0.25">
      <c r="F183" t="s">
        <v>789</v>
      </c>
      <c r="G183" s="2">
        <v>2</v>
      </c>
      <c r="I183" t="s">
        <v>11</v>
      </c>
      <c r="J183" s="9">
        <f>J182</f>
        <v>45755</v>
      </c>
      <c r="K183" t="str">
        <f t="shared" si="2"/>
        <v>REGULAR</v>
      </c>
      <c r="N183" s="28" t="s">
        <v>1366</v>
      </c>
      <c r="O183" s="28"/>
    </row>
    <row r="184" spans="1:16" hidden="1" x14ac:dyDescent="0.25">
      <c r="A184" t="s">
        <v>790</v>
      </c>
      <c r="B184" s="8">
        <v>45755</v>
      </c>
      <c r="C184" t="s">
        <v>606</v>
      </c>
      <c r="D184" t="s">
        <v>10</v>
      </c>
      <c r="E184" t="s">
        <v>623</v>
      </c>
      <c r="F184" t="s">
        <v>428</v>
      </c>
      <c r="G184" s="2">
        <v>1</v>
      </c>
      <c r="H184" s="2">
        <v>120</v>
      </c>
      <c r="I184" t="s">
        <v>11</v>
      </c>
      <c r="J184" s="9">
        <v>45755</v>
      </c>
      <c r="K184" t="str">
        <f t="shared" si="2"/>
        <v>REGULAR</v>
      </c>
    </row>
    <row r="185" spans="1:16" hidden="1" x14ac:dyDescent="0.25">
      <c r="A185" t="s">
        <v>791</v>
      </c>
      <c r="B185" s="8">
        <v>45755</v>
      </c>
      <c r="C185" t="s">
        <v>606</v>
      </c>
      <c r="D185" t="s">
        <v>10</v>
      </c>
      <c r="E185" t="s">
        <v>623</v>
      </c>
      <c r="F185" t="s">
        <v>667</v>
      </c>
      <c r="G185" s="2">
        <v>1</v>
      </c>
      <c r="H185" s="2">
        <v>240</v>
      </c>
      <c r="I185" t="s">
        <v>11</v>
      </c>
      <c r="J185" s="9">
        <v>45755</v>
      </c>
      <c r="K185" t="str">
        <f t="shared" si="2"/>
        <v>REGULAR</v>
      </c>
      <c r="N185" s="4" t="s">
        <v>363</v>
      </c>
      <c r="O185" t="s">
        <v>1353</v>
      </c>
      <c r="P185" t="s">
        <v>1352</v>
      </c>
    </row>
    <row r="186" spans="1:16" hidden="1" x14ac:dyDescent="0.25">
      <c r="F186" t="s">
        <v>452</v>
      </c>
      <c r="G186" s="2">
        <v>1</v>
      </c>
      <c r="I186" t="s">
        <v>11</v>
      </c>
      <c r="J186" s="9">
        <f>J185</f>
        <v>45755</v>
      </c>
      <c r="K186" t="str">
        <f t="shared" si="2"/>
        <v>REGULAR</v>
      </c>
      <c r="N186" s="11">
        <v>45753</v>
      </c>
      <c r="O186">
        <v>20</v>
      </c>
      <c r="P186">
        <v>5736</v>
      </c>
    </row>
    <row r="187" spans="1:16" hidden="1" x14ac:dyDescent="0.25">
      <c r="F187" t="s">
        <v>772</v>
      </c>
      <c r="G187" s="2">
        <v>1</v>
      </c>
      <c r="I187" t="s">
        <v>11</v>
      </c>
      <c r="J187" s="9">
        <f>J186</f>
        <v>45755</v>
      </c>
      <c r="K187" t="str">
        <f t="shared" si="2"/>
        <v>REGULAR</v>
      </c>
      <c r="N187" s="11">
        <v>45755</v>
      </c>
      <c r="O187">
        <v>21</v>
      </c>
      <c r="P187">
        <v>5028</v>
      </c>
    </row>
    <row r="188" spans="1:16" hidden="1" x14ac:dyDescent="0.25">
      <c r="A188" t="s">
        <v>792</v>
      </c>
      <c r="B188" s="8">
        <v>45755</v>
      </c>
      <c r="C188" t="s">
        <v>606</v>
      </c>
      <c r="D188" t="s">
        <v>10</v>
      </c>
      <c r="E188" t="s">
        <v>623</v>
      </c>
      <c r="F188" t="s">
        <v>673</v>
      </c>
      <c r="G188" s="2">
        <v>1</v>
      </c>
      <c r="H188" s="2">
        <v>260</v>
      </c>
      <c r="I188" t="s">
        <v>11</v>
      </c>
      <c r="J188" s="9">
        <v>45755</v>
      </c>
      <c r="K188" t="str">
        <f t="shared" si="2"/>
        <v>REGULAR</v>
      </c>
      <c r="N188" s="11">
        <v>45786</v>
      </c>
      <c r="O188">
        <v>13</v>
      </c>
      <c r="P188">
        <v>3938</v>
      </c>
    </row>
    <row r="189" spans="1:16" hidden="1" x14ac:dyDescent="0.25">
      <c r="F189" t="s">
        <v>752</v>
      </c>
      <c r="G189" s="2">
        <v>1</v>
      </c>
      <c r="I189" t="s">
        <v>34</v>
      </c>
      <c r="J189" s="9">
        <f>J188</f>
        <v>45755</v>
      </c>
      <c r="K189" t="str">
        <f t="shared" si="2"/>
        <v>REGULAR</v>
      </c>
      <c r="N189" s="11">
        <v>45756</v>
      </c>
      <c r="O189">
        <v>19</v>
      </c>
      <c r="P189">
        <v>3936</v>
      </c>
    </row>
    <row r="190" spans="1:16" hidden="1" x14ac:dyDescent="0.25">
      <c r="A190" t="s">
        <v>793</v>
      </c>
      <c r="B190" s="8">
        <v>45755</v>
      </c>
      <c r="C190" t="s">
        <v>606</v>
      </c>
      <c r="D190" t="s">
        <v>10</v>
      </c>
      <c r="E190" t="s">
        <v>623</v>
      </c>
      <c r="F190" t="s">
        <v>437</v>
      </c>
      <c r="G190" s="2">
        <v>1</v>
      </c>
      <c r="H190" s="2">
        <v>330</v>
      </c>
      <c r="I190" t="s">
        <v>34</v>
      </c>
      <c r="J190" s="9">
        <v>45755</v>
      </c>
      <c r="K190" t="str">
        <f t="shared" si="2"/>
        <v>REGULAR</v>
      </c>
      <c r="N190" s="11">
        <v>45751</v>
      </c>
      <c r="O190">
        <v>18</v>
      </c>
      <c r="P190">
        <v>3891</v>
      </c>
    </row>
    <row r="191" spans="1:16" hidden="1" x14ac:dyDescent="0.25">
      <c r="A191" t="s">
        <v>794</v>
      </c>
      <c r="B191" s="8">
        <v>45755</v>
      </c>
      <c r="C191" t="s">
        <v>606</v>
      </c>
      <c r="D191" t="s">
        <v>10</v>
      </c>
      <c r="E191" t="s">
        <v>623</v>
      </c>
      <c r="F191" t="s">
        <v>397</v>
      </c>
      <c r="G191" s="2">
        <v>1</v>
      </c>
      <c r="H191" s="2">
        <v>515</v>
      </c>
      <c r="I191" t="s">
        <v>34</v>
      </c>
      <c r="J191" s="9">
        <v>45755</v>
      </c>
      <c r="K191" t="str">
        <f t="shared" si="2"/>
        <v>REGULAR</v>
      </c>
      <c r="N191" s="11">
        <v>45791</v>
      </c>
      <c r="O191">
        <v>18</v>
      </c>
      <c r="P191">
        <v>3864</v>
      </c>
    </row>
    <row r="192" spans="1:16" hidden="1" x14ac:dyDescent="0.25">
      <c r="F192" t="s">
        <v>695</v>
      </c>
      <c r="G192" s="2">
        <v>1</v>
      </c>
      <c r="I192" t="s">
        <v>11</v>
      </c>
      <c r="J192" s="9">
        <f>J191</f>
        <v>45755</v>
      </c>
      <c r="K192" t="str">
        <f t="shared" si="2"/>
        <v>REGULAR</v>
      </c>
      <c r="N192" s="11">
        <v>45778</v>
      </c>
      <c r="O192">
        <v>15</v>
      </c>
      <c r="P192">
        <v>3826</v>
      </c>
    </row>
    <row r="193" spans="1:16" hidden="1" x14ac:dyDescent="0.25">
      <c r="F193" t="s">
        <v>428</v>
      </c>
      <c r="G193" s="2">
        <v>1</v>
      </c>
      <c r="I193" t="s">
        <v>11</v>
      </c>
      <c r="J193" s="9">
        <f>J192</f>
        <v>45755</v>
      </c>
      <c r="K193" t="str">
        <f t="shared" si="2"/>
        <v>REGULAR</v>
      </c>
      <c r="N193" s="11">
        <v>45752</v>
      </c>
      <c r="O193">
        <v>17</v>
      </c>
      <c r="P193">
        <v>3817</v>
      </c>
    </row>
    <row r="194" spans="1:16" hidden="1" x14ac:dyDescent="0.25">
      <c r="F194" t="s">
        <v>721</v>
      </c>
      <c r="G194" s="2">
        <v>1</v>
      </c>
      <c r="I194" t="s">
        <v>11</v>
      </c>
      <c r="J194" s="9">
        <f>J193</f>
        <v>45755</v>
      </c>
      <c r="K194" t="str">
        <f t="shared" ref="K194:K257" si="3">IF(E194&lt;&gt;"", E194, K193)</f>
        <v>REGULAR</v>
      </c>
      <c r="N194" s="11">
        <v>45767</v>
      </c>
      <c r="O194">
        <v>14</v>
      </c>
      <c r="P194">
        <v>3814</v>
      </c>
    </row>
    <row r="195" spans="1:16" hidden="1" x14ac:dyDescent="0.25">
      <c r="A195" t="s">
        <v>795</v>
      </c>
      <c r="B195" s="8">
        <v>45755</v>
      </c>
      <c r="C195" t="s">
        <v>606</v>
      </c>
      <c r="D195" t="s">
        <v>10</v>
      </c>
      <c r="E195" t="s">
        <v>623</v>
      </c>
      <c r="F195" t="s">
        <v>415</v>
      </c>
      <c r="G195" s="2">
        <v>2</v>
      </c>
      <c r="H195" s="2">
        <v>260</v>
      </c>
      <c r="I195" t="s">
        <v>34</v>
      </c>
      <c r="J195" s="9">
        <v>45755</v>
      </c>
      <c r="K195" t="str">
        <f t="shared" si="3"/>
        <v>REGULAR</v>
      </c>
      <c r="N195" s="11">
        <v>45754</v>
      </c>
      <c r="O195">
        <v>16</v>
      </c>
      <c r="P195">
        <v>3772</v>
      </c>
    </row>
    <row r="196" spans="1:16" hidden="1" x14ac:dyDescent="0.25">
      <c r="A196" t="s">
        <v>796</v>
      </c>
      <c r="B196" s="8">
        <v>45755</v>
      </c>
      <c r="C196" t="s">
        <v>606</v>
      </c>
      <c r="D196" t="s">
        <v>10</v>
      </c>
      <c r="E196" t="s">
        <v>623</v>
      </c>
      <c r="F196" t="s">
        <v>983</v>
      </c>
      <c r="G196" s="2">
        <v>1</v>
      </c>
      <c r="H196" s="2">
        <v>640</v>
      </c>
      <c r="I196" t="s">
        <v>11</v>
      </c>
      <c r="J196" s="9">
        <v>45755</v>
      </c>
      <c r="K196" t="str">
        <f t="shared" si="3"/>
        <v>REGULAR</v>
      </c>
      <c r="N196" s="11">
        <v>45766</v>
      </c>
      <c r="O196">
        <v>16</v>
      </c>
      <c r="P196">
        <v>3595</v>
      </c>
    </row>
    <row r="197" spans="1:16" hidden="1" x14ac:dyDescent="0.25">
      <c r="F197" t="s">
        <v>477</v>
      </c>
      <c r="G197" s="2">
        <v>1</v>
      </c>
      <c r="I197" t="s">
        <v>34</v>
      </c>
      <c r="J197" s="9">
        <f>J196</f>
        <v>45755</v>
      </c>
      <c r="K197" t="str">
        <f t="shared" si="3"/>
        <v>REGULAR</v>
      </c>
      <c r="N197" s="11">
        <v>45788</v>
      </c>
      <c r="O197">
        <v>12</v>
      </c>
      <c r="P197">
        <v>3527</v>
      </c>
    </row>
    <row r="198" spans="1:16" hidden="1" x14ac:dyDescent="0.25">
      <c r="F198" t="s">
        <v>465</v>
      </c>
      <c r="G198" s="2">
        <v>1</v>
      </c>
      <c r="I198" t="s">
        <v>34</v>
      </c>
      <c r="J198" s="9">
        <f>J197</f>
        <v>45755</v>
      </c>
      <c r="K198" t="str">
        <f t="shared" si="3"/>
        <v>REGULAR</v>
      </c>
      <c r="N198" s="11">
        <v>45760</v>
      </c>
      <c r="O198">
        <v>13</v>
      </c>
      <c r="P198">
        <v>3396</v>
      </c>
    </row>
    <row r="199" spans="1:16" hidden="1" x14ac:dyDescent="0.25">
      <c r="A199" t="s">
        <v>797</v>
      </c>
      <c r="B199" s="8">
        <v>45755</v>
      </c>
      <c r="C199" t="s">
        <v>606</v>
      </c>
      <c r="D199" t="s">
        <v>10</v>
      </c>
      <c r="E199" t="s">
        <v>623</v>
      </c>
      <c r="F199" t="s">
        <v>396</v>
      </c>
      <c r="G199" s="2">
        <v>1</v>
      </c>
      <c r="H199" s="2">
        <v>240</v>
      </c>
      <c r="I199" t="s">
        <v>11</v>
      </c>
      <c r="J199" s="9">
        <v>45755</v>
      </c>
      <c r="K199" t="str">
        <f t="shared" si="3"/>
        <v>REGULAR</v>
      </c>
      <c r="N199" s="11">
        <v>45765</v>
      </c>
      <c r="O199">
        <v>16</v>
      </c>
      <c r="P199">
        <v>3280</v>
      </c>
    </row>
    <row r="200" spans="1:16" hidden="1" x14ac:dyDescent="0.25">
      <c r="F200" t="s">
        <v>395</v>
      </c>
      <c r="G200" s="2">
        <v>1</v>
      </c>
      <c r="I200" t="s">
        <v>34</v>
      </c>
      <c r="J200" s="9">
        <f>J199</f>
        <v>45755</v>
      </c>
      <c r="K200" t="str">
        <f t="shared" si="3"/>
        <v>REGULAR</v>
      </c>
      <c r="N200" s="11">
        <v>45757</v>
      </c>
      <c r="O200">
        <v>15</v>
      </c>
      <c r="P200">
        <v>3179</v>
      </c>
    </row>
    <row r="201" spans="1:16" hidden="1" x14ac:dyDescent="0.25">
      <c r="A201" t="s">
        <v>798</v>
      </c>
      <c r="B201" s="8">
        <v>45755</v>
      </c>
      <c r="C201" t="s">
        <v>606</v>
      </c>
      <c r="D201" t="s">
        <v>10</v>
      </c>
      <c r="E201" t="s">
        <v>623</v>
      </c>
      <c r="F201" t="s">
        <v>484</v>
      </c>
      <c r="G201" s="2">
        <v>2</v>
      </c>
      <c r="H201" s="2">
        <v>325</v>
      </c>
      <c r="I201" t="s">
        <v>11</v>
      </c>
      <c r="J201" s="9">
        <v>45755</v>
      </c>
      <c r="K201" t="str">
        <f t="shared" si="3"/>
        <v>REGULAR</v>
      </c>
      <c r="N201" s="11">
        <v>45779</v>
      </c>
      <c r="O201">
        <v>15</v>
      </c>
      <c r="P201">
        <v>3048</v>
      </c>
    </row>
    <row r="202" spans="1:16" hidden="1" x14ac:dyDescent="0.25">
      <c r="F202" t="s">
        <v>485</v>
      </c>
      <c r="G202" s="2">
        <v>1</v>
      </c>
      <c r="I202" t="s">
        <v>11</v>
      </c>
      <c r="J202" s="9">
        <f>J201</f>
        <v>45755</v>
      </c>
      <c r="K202" t="str">
        <f t="shared" si="3"/>
        <v>REGULAR</v>
      </c>
      <c r="N202" s="11">
        <v>45750</v>
      </c>
      <c r="O202">
        <v>18</v>
      </c>
      <c r="P202">
        <v>3044</v>
      </c>
    </row>
    <row r="203" spans="1:16" x14ac:dyDescent="0.25">
      <c r="A203" t="s">
        <v>799</v>
      </c>
      <c r="B203" s="8">
        <v>45756</v>
      </c>
      <c r="C203" t="s">
        <v>632</v>
      </c>
      <c r="D203" t="s">
        <v>10</v>
      </c>
      <c r="E203" t="s">
        <v>607</v>
      </c>
      <c r="F203" t="s">
        <v>800</v>
      </c>
      <c r="G203" s="2">
        <v>1</v>
      </c>
      <c r="H203" s="2">
        <v>129</v>
      </c>
      <c r="I203" t="s">
        <v>11</v>
      </c>
      <c r="J203" s="9">
        <v>45756</v>
      </c>
      <c r="K203" t="str">
        <f t="shared" si="3"/>
        <v>SUBSCRIPTION</v>
      </c>
      <c r="N203" s="11">
        <v>45773</v>
      </c>
      <c r="O203">
        <v>14</v>
      </c>
      <c r="P203">
        <v>3043</v>
      </c>
    </row>
    <row r="204" spans="1:16" x14ac:dyDescent="0.25">
      <c r="A204" t="s">
        <v>801</v>
      </c>
      <c r="B204" s="8">
        <v>45756</v>
      </c>
      <c r="C204" t="s">
        <v>632</v>
      </c>
      <c r="D204" t="s">
        <v>10</v>
      </c>
      <c r="E204" t="s">
        <v>607</v>
      </c>
      <c r="F204" t="s">
        <v>957</v>
      </c>
      <c r="G204" s="2">
        <v>1</v>
      </c>
      <c r="H204" s="2">
        <v>179</v>
      </c>
      <c r="I204" t="s">
        <v>34</v>
      </c>
      <c r="J204" s="9">
        <v>45756</v>
      </c>
      <c r="K204" t="str">
        <f t="shared" si="3"/>
        <v>SUBSCRIPTION</v>
      </c>
      <c r="N204" s="11">
        <v>45774</v>
      </c>
      <c r="O204">
        <v>11</v>
      </c>
      <c r="P204">
        <v>2924</v>
      </c>
    </row>
    <row r="205" spans="1:16" x14ac:dyDescent="0.25">
      <c r="A205" t="s">
        <v>802</v>
      </c>
      <c r="B205" s="8">
        <v>45756</v>
      </c>
      <c r="C205" t="s">
        <v>632</v>
      </c>
      <c r="D205" t="s">
        <v>21</v>
      </c>
      <c r="E205" t="s">
        <v>607</v>
      </c>
      <c r="F205" t="s">
        <v>1282</v>
      </c>
      <c r="G205" s="2">
        <v>2</v>
      </c>
      <c r="H205" s="2">
        <f>2*79</f>
        <v>158</v>
      </c>
      <c r="I205" t="s">
        <v>11</v>
      </c>
      <c r="J205" s="9">
        <v>45756</v>
      </c>
      <c r="K205" t="str">
        <f t="shared" si="3"/>
        <v>SUBSCRIPTION</v>
      </c>
      <c r="N205" s="11">
        <v>45790</v>
      </c>
      <c r="O205">
        <v>18</v>
      </c>
      <c r="P205">
        <v>2901</v>
      </c>
    </row>
    <row r="206" spans="1:16" x14ac:dyDescent="0.25">
      <c r="A206" t="s">
        <v>803</v>
      </c>
      <c r="B206" s="8">
        <v>45756</v>
      </c>
      <c r="C206" t="s">
        <v>632</v>
      </c>
      <c r="D206" t="s">
        <v>10</v>
      </c>
      <c r="E206" t="s">
        <v>607</v>
      </c>
      <c r="F206" t="s">
        <v>957</v>
      </c>
      <c r="G206" s="2">
        <v>1</v>
      </c>
      <c r="H206" s="2">
        <v>129</v>
      </c>
      <c r="I206" t="s">
        <v>34</v>
      </c>
      <c r="J206" s="9">
        <v>45756</v>
      </c>
      <c r="K206" t="str">
        <f t="shared" si="3"/>
        <v>SUBSCRIPTION</v>
      </c>
      <c r="N206" s="11">
        <v>45763</v>
      </c>
      <c r="O206">
        <v>15</v>
      </c>
      <c r="P206">
        <v>2786</v>
      </c>
    </row>
    <row r="207" spans="1:16" x14ac:dyDescent="0.25">
      <c r="A207" t="s">
        <v>804</v>
      </c>
      <c r="B207" s="8">
        <v>45756</v>
      </c>
      <c r="C207" t="s">
        <v>632</v>
      </c>
      <c r="D207" t="s">
        <v>18</v>
      </c>
      <c r="E207" t="s">
        <v>607</v>
      </c>
      <c r="F207" t="s">
        <v>952</v>
      </c>
      <c r="G207" s="2">
        <v>1</v>
      </c>
      <c r="H207" s="2">
        <v>99</v>
      </c>
      <c r="I207" t="s">
        <v>34</v>
      </c>
      <c r="J207" s="9">
        <v>45756</v>
      </c>
      <c r="K207" t="str">
        <f t="shared" si="3"/>
        <v>SUBSCRIPTION</v>
      </c>
      <c r="N207" s="11">
        <v>45775</v>
      </c>
      <c r="O207">
        <v>13</v>
      </c>
      <c r="P207">
        <v>2690</v>
      </c>
    </row>
    <row r="208" spans="1:16" x14ac:dyDescent="0.25">
      <c r="A208" t="s">
        <v>805</v>
      </c>
      <c r="B208" s="8">
        <v>45756</v>
      </c>
      <c r="C208" t="s">
        <v>632</v>
      </c>
      <c r="D208" t="s">
        <v>18</v>
      </c>
      <c r="E208" t="s">
        <v>607</v>
      </c>
      <c r="F208" t="s">
        <v>949</v>
      </c>
      <c r="G208" s="2">
        <v>1</v>
      </c>
      <c r="H208" s="2">
        <v>112</v>
      </c>
      <c r="I208" t="s">
        <v>34</v>
      </c>
      <c r="J208" s="9">
        <v>45756</v>
      </c>
      <c r="K208" t="str">
        <f t="shared" si="3"/>
        <v>SUBSCRIPTION</v>
      </c>
      <c r="N208" s="11">
        <v>45787</v>
      </c>
      <c r="O208">
        <v>11</v>
      </c>
      <c r="P208">
        <v>2674</v>
      </c>
    </row>
    <row r="209" spans="1:16" x14ac:dyDescent="0.25">
      <c r="A209" t="s">
        <v>806</v>
      </c>
      <c r="B209" s="8">
        <v>45756</v>
      </c>
      <c r="C209" t="s">
        <v>632</v>
      </c>
      <c r="D209" t="s">
        <v>21</v>
      </c>
      <c r="E209" t="s">
        <v>607</v>
      </c>
      <c r="F209" t="s">
        <v>642</v>
      </c>
      <c r="G209" s="2">
        <v>1</v>
      </c>
      <c r="H209" s="2">
        <v>129</v>
      </c>
      <c r="I209" t="s">
        <v>34</v>
      </c>
      <c r="J209" s="9">
        <v>45756</v>
      </c>
      <c r="K209" t="str">
        <f t="shared" si="3"/>
        <v>SUBSCRIPTION</v>
      </c>
      <c r="N209" s="11">
        <v>45792</v>
      </c>
      <c r="O209">
        <v>16</v>
      </c>
      <c r="P209">
        <v>2591</v>
      </c>
    </row>
    <row r="210" spans="1:16" x14ac:dyDescent="0.25">
      <c r="A210" t="s">
        <v>807</v>
      </c>
      <c r="B210" s="8">
        <v>45756</v>
      </c>
      <c r="C210" t="s">
        <v>632</v>
      </c>
      <c r="D210" t="s">
        <v>10</v>
      </c>
      <c r="E210" t="s">
        <v>607</v>
      </c>
      <c r="F210" t="s">
        <v>957</v>
      </c>
      <c r="G210" s="2">
        <v>1</v>
      </c>
      <c r="H210" s="2">
        <v>179</v>
      </c>
      <c r="I210" t="s">
        <v>34</v>
      </c>
      <c r="J210" s="9">
        <v>45756</v>
      </c>
      <c r="K210" t="str">
        <f t="shared" si="3"/>
        <v>SUBSCRIPTION</v>
      </c>
      <c r="N210" s="11">
        <v>45771</v>
      </c>
      <c r="O210">
        <v>13</v>
      </c>
      <c r="P210">
        <v>2442</v>
      </c>
    </row>
    <row r="211" spans="1:16" x14ac:dyDescent="0.25">
      <c r="A211" t="s">
        <v>808</v>
      </c>
      <c r="B211" s="8">
        <v>45756</v>
      </c>
      <c r="C211" t="s">
        <v>632</v>
      </c>
      <c r="D211" t="s">
        <v>18</v>
      </c>
      <c r="E211" t="s">
        <v>607</v>
      </c>
      <c r="F211" t="s">
        <v>952</v>
      </c>
      <c r="G211" s="2">
        <v>1</v>
      </c>
      <c r="H211" s="2">
        <v>99</v>
      </c>
      <c r="I211" t="s">
        <v>34</v>
      </c>
      <c r="J211" s="9">
        <v>45756</v>
      </c>
      <c r="K211" t="str">
        <f t="shared" si="3"/>
        <v>SUBSCRIPTION</v>
      </c>
      <c r="N211" s="11">
        <v>45785</v>
      </c>
      <c r="O211">
        <v>10</v>
      </c>
      <c r="P211">
        <v>2409</v>
      </c>
    </row>
    <row r="212" spans="1:16" x14ac:dyDescent="0.25">
      <c r="A212" t="s">
        <v>809</v>
      </c>
      <c r="B212" s="8">
        <v>45756</v>
      </c>
      <c r="C212" t="s">
        <v>632</v>
      </c>
      <c r="D212" t="s">
        <v>10</v>
      </c>
      <c r="E212" t="s">
        <v>607</v>
      </c>
      <c r="F212" t="s">
        <v>1288</v>
      </c>
      <c r="G212" s="2">
        <v>2</v>
      </c>
      <c r="H212" s="2">
        <f>2*99</f>
        <v>198</v>
      </c>
      <c r="I212" t="s">
        <v>11</v>
      </c>
      <c r="J212" s="9">
        <v>45756</v>
      </c>
      <c r="K212" t="str">
        <f t="shared" si="3"/>
        <v>SUBSCRIPTION</v>
      </c>
      <c r="N212" s="11">
        <v>45776</v>
      </c>
      <c r="O212">
        <v>13</v>
      </c>
      <c r="P212">
        <v>2390</v>
      </c>
    </row>
    <row r="213" spans="1:16" hidden="1" x14ac:dyDescent="0.25">
      <c r="A213" t="s">
        <v>810</v>
      </c>
      <c r="B213" s="8">
        <v>45756</v>
      </c>
      <c r="C213" t="s">
        <v>632</v>
      </c>
      <c r="D213" t="s">
        <v>10</v>
      </c>
      <c r="E213" t="s">
        <v>623</v>
      </c>
      <c r="F213" t="s">
        <v>438</v>
      </c>
      <c r="G213" s="2">
        <v>1</v>
      </c>
      <c r="H213" s="2">
        <v>470</v>
      </c>
      <c r="I213" t="s">
        <v>34</v>
      </c>
      <c r="J213" s="9">
        <v>45756</v>
      </c>
      <c r="K213" t="str">
        <f t="shared" si="3"/>
        <v>REGULAR</v>
      </c>
      <c r="N213" s="11">
        <v>45789</v>
      </c>
      <c r="O213">
        <v>12</v>
      </c>
      <c r="P213">
        <v>2257</v>
      </c>
    </row>
    <row r="214" spans="1:16" hidden="1" x14ac:dyDescent="0.25">
      <c r="F214" t="s">
        <v>672</v>
      </c>
      <c r="G214" s="2">
        <v>1</v>
      </c>
      <c r="I214" t="s">
        <v>11</v>
      </c>
      <c r="J214" s="9">
        <f>J213</f>
        <v>45756</v>
      </c>
      <c r="K214" t="str">
        <f t="shared" si="3"/>
        <v>REGULAR</v>
      </c>
      <c r="N214" s="11">
        <v>45770</v>
      </c>
      <c r="O214">
        <v>12</v>
      </c>
      <c r="P214">
        <v>2256</v>
      </c>
    </row>
    <row r="215" spans="1:16" hidden="1" x14ac:dyDescent="0.25">
      <c r="A215" t="s">
        <v>811</v>
      </c>
      <c r="B215" s="8">
        <v>45756</v>
      </c>
      <c r="C215" t="s">
        <v>632</v>
      </c>
      <c r="D215" t="s">
        <v>10</v>
      </c>
      <c r="E215" t="s">
        <v>623</v>
      </c>
      <c r="F215" t="s">
        <v>395</v>
      </c>
      <c r="G215" s="2">
        <v>1</v>
      </c>
      <c r="H215" s="2">
        <v>670</v>
      </c>
      <c r="I215" t="s">
        <v>34</v>
      </c>
      <c r="J215" s="9">
        <v>45756</v>
      </c>
      <c r="K215" t="str">
        <f t="shared" si="3"/>
        <v>REGULAR</v>
      </c>
      <c r="N215" s="11">
        <v>45764</v>
      </c>
      <c r="O215">
        <v>13</v>
      </c>
      <c r="P215">
        <v>2255</v>
      </c>
    </row>
    <row r="216" spans="1:16" hidden="1" x14ac:dyDescent="0.25">
      <c r="F216" t="s">
        <v>451</v>
      </c>
      <c r="G216" s="2">
        <v>1</v>
      </c>
      <c r="I216" t="s">
        <v>11</v>
      </c>
      <c r="J216" s="9">
        <f>J215</f>
        <v>45756</v>
      </c>
      <c r="K216" t="str">
        <f t="shared" si="3"/>
        <v>REGULAR</v>
      </c>
      <c r="N216" s="11">
        <v>45784</v>
      </c>
      <c r="O216">
        <v>8</v>
      </c>
      <c r="P216">
        <v>2179</v>
      </c>
    </row>
    <row r="217" spans="1:16" hidden="1" x14ac:dyDescent="0.25">
      <c r="F217" t="s">
        <v>672</v>
      </c>
      <c r="G217" s="2">
        <v>2</v>
      </c>
      <c r="I217" t="s">
        <v>11</v>
      </c>
      <c r="J217" s="9">
        <f>J216</f>
        <v>45756</v>
      </c>
      <c r="K217" t="str">
        <f t="shared" si="3"/>
        <v>REGULAR</v>
      </c>
      <c r="N217" s="11">
        <v>45759</v>
      </c>
      <c r="O217">
        <v>12</v>
      </c>
      <c r="P217">
        <v>2143</v>
      </c>
    </row>
    <row r="218" spans="1:16" hidden="1" x14ac:dyDescent="0.25">
      <c r="A218" t="s">
        <v>812</v>
      </c>
      <c r="B218" s="8">
        <v>45756</v>
      </c>
      <c r="C218" t="s">
        <v>632</v>
      </c>
      <c r="D218" t="s">
        <v>10</v>
      </c>
      <c r="E218" t="s">
        <v>623</v>
      </c>
      <c r="F218" t="s">
        <v>428</v>
      </c>
      <c r="G218" s="2">
        <v>1</v>
      </c>
      <c r="H218" s="2">
        <v>350</v>
      </c>
      <c r="I218" t="s">
        <v>11</v>
      </c>
      <c r="J218" s="9">
        <v>45756</v>
      </c>
      <c r="K218" t="str">
        <f t="shared" si="3"/>
        <v>REGULAR</v>
      </c>
      <c r="N218" s="11">
        <v>45783</v>
      </c>
      <c r="O218">
        <v>6</v>
      </c>
      <c r="P218">
        <v>1984</v>
      </c>
    </row>
    <row r="219" spans="1:16" hidden="1" x14ac:dyDescent="0.25">
      <c r="F219" t="s">
        <v>488</v>
      </c>
      <c r="G219" s="2">
        <v>1</v>
      </c>
      <c r="I219" t="s">
        <v>11</v>
      </c>
      <c r="J219" s="9">
        <f>J218</f>
        <v>45756</v>
      </c>
      <c r="K219" t="str">
        <f t="shared" si="3"/>
        <v>REGULAR</v>
      </c>
      <c r="N219" s="11">
        <v>45762</v>
      </c>
      <c r="O219">
        <v>13</v>
      </c>
      <c r="P219">
        <v>1810</v>
      </c>
    </row>
    <row r="220" spans="1:16" hidden="1" x14ac:dyDescent="0.25">
      <c r="F220" t="s">
        <v>699</v>
      </c>
      <c r="G220" s="2">
        <v>1</v>
      </c>
      <c r="I220" t="s">
        <v>11</v>
      </c>
      <c r="J220" s="9">
        <f>J219</f>
        <v>45756</v>
      </c>
      <c r="K220" t="str">
        <f t="shared" si="3"/>
        <v>REGULAR</v>
      </c>
      <c r="N220" s="11">
        <v>45749</v>
      </c>
      <c r="O220">
        <v>11</v>
      </c>
      <c r="P220">
        <v>1660</v>
      </c>
    </row>
    <row r="221" spans="1:16" hidden="1" x14ac:dyDescent="0.25">
      <c r="F221" t="s">
        <v>675</v>
      </c>
      <c r="G221" s="2">
        <v>1</v>
      </c>
      <c r="I221" t="s">
        <v>11</v>
      </c>
      <c r="J221" s="9">
        <f>J220</f>
        <v>45756</v>
      </c>
      <c r="K221" t="str">
        <f t="shared" si="3"/>
        <v>REGULAR</v>
      </c>
      <c r="N221" s="11">
        <v>45748</v>
      </c>
      <c r="O221">
        <v>11</v>
      </c>
      <c r="P221">
        <v>1556</v>
      </c>
    </row>
    <row r="222" spans="1:16" hidden="1" x14ac:dyDescent="0.25">
      <c r="A222" t="s">
        <v>813</v>
      </c>
      <c r="B222" s="8">
        <v>45756</v>
      </c>
      <c r="C222" t="s">
        <v>632</v>
      </c>
      <c r="D222" t="s">
        <v>10</v>
      </c>
      <c r="E222" t="s">
        <v>623</v>
      </c>
      <c r="F222" t="s">
        <v>397</v>
      </c>
      <c r="G222" s="2">
        <v>1</v>
      </c>
      <c r="H222" s="2">
        <v>160</v>
      </c>
      <c r="I222" t="s">
        <v>34</v>
      </c>
      <c r="J222" s="9">
        <v>45756</v>
      </c>
      <c r="K222" t="str">
        <f t="shared" si="3"/>
        <v>REGULAR</v>
      </c>
      <c r="N222" s="11">
        <v>45769</v>
      </c>
      <c r="O222">
        <v>10</v>
      </c>
      <c r="P222">
        <v>1529</v>
      </c>
    </row>
    <row r="223" spans="1:16" hidden="1" x14ac:dyDescent="0.25">
      <c r="A223" t="s">
        <v>814</v>
      </c>
      <c r="B223" s="8">
        <v>45756</v>
      </c>
      <c r="C223" t="s">
        <v>632</v>
      </c>
      <c r="D223" t="s">
        <v>10</v>
      </c>
      <c r="E223" t="s">
        <v>623</v>
      </c>
      <c r="F223" t="s">
        <v>469</v>
      </c>
      <c r="G223" s="2">
        <v>1</v>
      </c>
      <c r="H223" s="2">
        <v>350</v>
      </c>
      <c r="I223" t="s">
        <v>34</v>
      </c>
      <c r="J223" s="9">
        <v>45756</v>
      </c>
      <c r="K223" t="str">
        <f t="shared" si="3"/>
        <v>REGULAR</v>
      </c>
      <c r="N223" s="11">
        <v>45793</v>
      </c>
      <c r="O223">
        <v>12</v>
      </c>
      <c r="P223">
        <v>1384</v>
      </c>
    </row>
    <row r="224" spans="1:16" hidden="1" x14ac:dyDescent="0.25">
      <c r="F224" t="s">
        <v>752</v>
      </c>
      <c r="G224" s="2">
        <v>1</v>
      </c>
      <c r="I224" t="s">
        <v>34</v>
      </c>
      <c r="J224" s="9">
        <f>J223</f>
        <v>45756</v>
      </c>
      <c r="K224" t="str">
        <f t="shared" si="3"/>
        <v>REGULAR</v>
      </c>
      <c r="N224" s="11">
        <v>45761</v>
      </c>
      <c r="O224">
        <v>8</v>
      </c>
      <c r="P224">
        <v>1184</v>
      </c>
    </row>
    <row r="225" spans="1:16" hidden="1" x14ac:dyDescent="0.25">
      <c r="A225" t="s">
        <v>815</v>
      </c>
      <c r="B225" s="8">
        <v>45756</v>
      </c>
      <c r="C225" t="s">
        <v>632</v>
      </c>
      <c r="D225" t="s">
        <v>10</v>
      </c>
      <c r="E225" t="s">
        <v>623</v>
      </c>
      <c r="F225" t="s">
        <v>475</v>
      </c>
      <c r="G225" s="2">
        <v>1</v>
      </c>
      <c r="H225" s="2">
        <v>95</v>
      </c>
      <c r="I225" t="s">
        <v>11</v>
      </c>
      <c r="J225" s="9">
        <v>45756</v>
      </c>
      <c r="K225" t="str">
        <f t="shared" si="3"/>
        <v>REGULAR</v>
      </c>
      <c r="N225" s="11">
        <v>45758</v>
      </c>
      <c r="O225">
        <v>9</v>
      </c>
      <c r="P225">
        <v>1110</v>
      </c>
    </row>
    <row r="226" spans="1:16" hidden="1" x14ac:dyDescent="0.25">
      <c r="A226" t="s">
        <v>816</v>
      </c>
      <c r="B226" s="8">
        <v>45756</v>
      </c>
      <c r="C226" t="s">
        <v>632</v>
      </c>
      <c r="D226" t="s">
        <v>10</v>
      </c>
      <c r="E226" t="s">
        <v>623</v>
      </c>
      <c r="F226" t="s">
        <v>480</v>
      </c>
      <c r="G226" s="2">
        <v>1</v>
      </c>
      <c r="H226" s="2">
        <v>240</v>
      </c>
      <c r="I226" t="s">
        <v>34</v>
      </c>
      <c r="J226" s="9">
        <v>45756</v>
      </c>
      <c r="K226" t="str">
        <f t="shared" si="3"/>
        <v>REGULAR</v>
      </c>
      <c r="N226" s="11">
        <v>45772</v>
      </c>
      <c r="O226">
        <v>7</v>
      </c>
      <c r="P226">
        <v>874</v>
      </c>
    </row>
    <row r="227" spans="1:16" hidden="1" x14ac:dyDescent="0.25">
      <c r="A227" t="s">
        <v>817</v>
      </c>
      <c r="B227" s="8">
        <v>45756</v>
      </c>
      <c r="C227" t="s">
        <v>632</v>
      </c>
      <c r="D227" t="s">
        <v>10</v>
      </c>
      <c r="E227" t="s">
        <v>623</v>
      </c>
      <c r="F227" t="s">
        <v>465</v>
      </c>
      <c r="G227" s="2">
        <v>1</v>
      </c>
      <c r="H227" s="2">
        <v>190</v>
      </c>
      <c r="I227" t="s">
        <v>34</v>
      </c>
      <c r="J227" s="9">
        <v>45756</v>
      </c>
      <c r="K227" t="str">
        <f t="shared" si="3"/>
        <v>REGULAR</v>
      </c>
      <c r="N227" s="11">
        <v>45768</v>
      </c>
      <c r="O227">
        <v>5</v>
      </c>
      <c r="P227">
        <v>503</v>
      </c>
    </row>
    <row r="228" spans="1:16" hidden="1" x14ac:dyDescent="0.25">
      <c r="A228" t="s">
        <v>818</v>
      </c>
      <c r="B228" s="8">
        <v>45756</v>
      </c>
      <c r="C228" t="s">
        <v>632</v>
      </c>
      <c r="D228" t="s">
        <v>10</v>
      </c>
      <c r="E228" t="s">
        <v>623</v>
      </c>
      <c r="F228" t="s">
        <v>999</v>
      </c>
      <c r="G228" s="2">
        <v>1</v>
      </c>
      <c r="I228" t="s">
        <v>11</v>
      </c>
      <c r="J228" s="9">
        <v>45756</v>
      </c>
      <c r="K228" t="str">
        <f t="shared" si="3"/>
        <v>REGULAR</v>
      </c>
      <c r="N228" s="11">
        <v>45794</v>
      </c>
      <c r="O228">
        <v>1</v>
      </c>
      <c r="P228">
        <v>405</v>
      </c>
    </row>
    <row r="229" spans="1:16" hidden="1" x14ac:dyDescent="0.25">
      <c r="F229" t="s">
        <v>391</v>
      </c>
      <c r="G229" s="2">
        <v>1</v>
      </c>
      <c r="I229" t="s">
        <v>34</v>
      </c>
      <c r="J229" s="9">
        <f>J228</f>
        <v>45756</v>
      </c>
      <c r="K229" t="str">
        <f t="shared" si="3"/>
        <v>REGULAR</v>
      </c>
      <c r="N229" s="11">
        <v>45795</v>
      </c>
      <c r="O229">
        <v>1</v>
      </c>
      <c r="P229">
        <v>380</v>
      </c>
    </row>
    <row r="230" spans="1:16" hidden="1" x14ac:dyDescent="0.25">
      <c r="F230" t="s">
        <v>721</v>
      </c>
      <c r="G230" s="2">
        <v>1</v>
      </c>
      <c r="I230" t="s">
        <v>11</v>
      </c>
      <c r="J230" s="9">
        <f>J229</f>
        <v>45756</v>
      </c>
      <c r="K230" t="str">
        <f t="shared" si="3"/>
        <v>REGULAR</v>
      </c>
      <c r="N230" s="11">
        <v>45782</v>
      </c>
      <c r="O230">
        <v>2</v>
      </c>
      <c r="P230">
        <v>289</v>
      </c>
    </row>
    <row r="231" spans="1:16" hidden="1" x14ac:dyDescent="0.25">
      <c r="F231" t="s">
        <v>667</v>
      </c>
      <c r="G231" s="2">
        <v>1</v>
      </c>
      <c r="I231" t="s">
        <v>11</v>
      </c>
      <c r="J231" s="9">
        <f>J230</f>
        <v>45756</v>
      </c>
      <c r="K231" t="str">
        <f t="shared" si="3"/>
        <v>REGULAR</v>
      </c>
      <c r="N231" s="11">
        <v>45781</v>
      </c>
      <c r="O231">
        <v>1</v>
      </c>
      <c r="P231">
        <v>280</v>
      </c>
    </row>
    <row r="232" spans="1:16" x14ac:dyDescent="0.25">
      <c r="A232" t="s">
        <v>819</v>
      </c>
      <c r="B232" s="8">
        <v>45757</v>
      </c>
      <c r="C232" t="s">
        <v>648</v>
      </c>
      <c r="D232" t="s">
        <v>10</v>
      </c>
      <c r="E232" t="s">
        <v>607</v>
      </c>
      <c r="F232" t="s">
        <v>820</v>
      </c>
      <c r="G232" s="2">
        <v>1</v>
      </c>
      <c r="H232" s="2">
        <v>99</v>
      </c>
      <c r="I232" t="s">
        <v>34</v>
      </c>
      <c r="J232" s="9">
        <v>45757</v>
      </c>
      <c r="K232" t="str">
        <f t="shared" si="3"/>
        <v>SUBSCRIPTION</v>
      </c>
      <c r="N232" s="11">
        <v>45780</v>
      </c>
      <c r="O232">
        <v>2</v>
      </c>
      <c r="P232">
        <v>278</v>
      </c>
    </row>
    <row r="233" spans="1:16" x14ac:dyDescent="0.25">
      <c r="A233" t="s">
        <v>821</v>
      </c>
      <c r="B233" s="8">
        <v>45757</v>
      </c>
      <c r="C233" t="s">
        <v>648</v>
      </c>
      <c r="D233" t="s">
        <v>10</v>
      </c>
      <c r="E233" t="s">
        <v>607</v>
      </c>
      <c r="F233" t="s">
        <v>956</v>
      </c>
      <c r="G233" s="2">
        <v>1</v>
      </c>
      <c r="H233" s="2">
        <v>129</v>
      </c>
      <c r="I233" t="s">
        <v>34</v>
      </c>
      <c r="J233" s="9">
        <v>45757</v>
      </c>
      <c r="K233" t="str">
        <f t="shared" si="3"/>
        <v>SUBSCRIPTION</v>
      </c>
      <c r="N233" s="11">
        <v>45803</v>
      </c>
      <c r="O233">
        <v>1</v>
      </c>
      <c r="P233">
        <v>129</v>
      </c>
    </row>
    <row r="234" spans="1:16" x14ac:dyDescent="0.25">
      <c r="A234" t="s">
        <v>822</v>
      </c>
      <c r="B234" s="8">
        <v>45757</v>
      </c>
      <c r="C234" t="s">
        <v>648</v>
      </c>
      <c r="D234" t="s">
        <v>10</v>
      </c>
      <c r="E234" t="s">
        <v>607</v>
      </c>
      <c r="F234" t="s">
        <v>658</v>
      </c>
      <c r="G234" s="2">
        <v>1</v>
      </c>
      <c r="H234" s="2">
        <v>149</v>
      </c>
      <c r="I234" t="s">
        <v>34</v>
      </c>
      <c r="J234" s="9">
        <v>45757</v>
      </c>
      <c r="K234" t="str">
        <f t="shared" si="3"/>
        <v>SUBSCRIPTION</v>
      </c>
      <c r="N234" s="5" t="s">
        <v>368</v>
      </c>
      <c r="O234">
        <v>567</v>
      </c>
      <c r="P234">
        <v>117986</v>
      </c>
    </row>
    <row r="235" spans="1:16" x14ac:dyDescent="0.25">
      <c r="A235" t="s">
        <v>823</v>
      </c>
      <c r="B235" s="8">
        <v>45757</v>
      </c>
      <c r="C235" t="s">
        <v>648</v>
      </c>
      <c r="D235" t="s">
        <v>21</v>
      </c>
      <c r="E235" t="s">
        <v>607</v>
      </c>
      <c r="F235" t="s">
        <v>656</v>
      </c>
      <c r="G235" s="2">
        <v>2</v>
      </c>
      <c r="H235" s="2">
        <f>2*79</f>
        <v>158</v>
      </c>
      <c r="I235" t="s">
        <v>11</v>
      </c>
      <c r="J235" s="9">
        <v>45757</v>
      </c>
      <c r="K235" t="str">
        <f t="shared" si="3"/>
        <v>SUBSCRIPTION</v>
      </c>
    </row>
    <row r="236" spans="1:16" x14ac:dyDescent="0.25">
      <c r="A236" t="s">
        <v>824</v>
      </c>
      <c r="B236" s="8">
        <v>45757</v>
      </c>
      <c r="C236" t="s">
        <v>648</v>
      </c>
      <c r="D236" t="s">
        <v>21</v>
      </c>
      <c r="E236" t="s">
        <v>607</v>
      </c>
      <c r="F236" t="s">
        <v>1337</v>
      </c>
      <c r="G236" s="2">
        <v>1</v>
      </c>
      <c r="H236" s="2">
        <v>117</v>
      </c>
      <c r="I236" t="s">
        <v>34</v>
      </c>
      <c r="J236" s="9">
        <v>45757</v>
      </c>
      <c r="K236" t="str">
        <f t="shared" si="3"/>
        <v>SUBSCRIPTION</v>
      </c>
    </row>
    <row r="237" spans="1:16" x14ac:dyDescent="0.25">
      <c r="A237" t="s">
        <v>825</v>
      </c>
      <c r="B237" s="8">
        <v>45757</v>
      </c>
      <c r="C237" t="s">
        <v>648</v>
      </c>
      <c r="D237" t="s">
        <v>10</v>
      </c>
      <c r="E237" t="s">
        <v>607</v>
      </c>
      <c r="F237" t="s">
        <v>820</v>
      </c>
      <c r="G237" s="2">
        <v>1</v>
      </c>
      <c r="H237" s="2">
        <v>99</v>
      </c>
      <c r="I237" t="s">
        <v>34</v>
      </c>
      <c r="J237" s="9">
        <v>45757</v>
      </c>
      <c r="K237" t="str">
        <f t="shared" si="3"/>
        <v>SUBSCRIPTION</v>
      </c>
      <c r="N237" s="28" t="s">
        <v>1368</v>
      </c>
      <c r="O237" s="28"/>
    </row>
    <row r="238" spans="1:16" x14ac:dyDescent="0.25">
      <c r="A238" t="s">
        <v>826</v>
      </c>
      <c r="B238" s="8">
        <v>45757</v>
      </c>
      <c r="C238" t="s">
        <v>648</v>
      </c>
      <c r="D238" t="s">
        <v>10</v>
      </c>
      <c r="E238" t="s">
        <v>607</v>
      </c>
      <c r="F238" t="s">
        <v>658</v>
      </c>
      <c r="G238" s="2">
        <v>1</v>
      </c>
      <c r="H238" s="2">
        <v>149</v>
      </c>
      <c r="I238" t="s">
        <v>34</v>
      </c>
      <c r="J238" s="9">
        <v>45757</v>
      </c>
      <c r="K238" t="str">
        <f t="shared" si="3"/>
        <v>SUBSCRIPTION</v>
      </c>
    </row>
    <row r="239" spans="1:16" x14ac:dyDescent="0.25">
      <c r="A239" t="s">
        <v>826</v>
      </c>
      <c r="B239" s="8">
        <v>45757</v>
      </c>
      <c r="C239" t="s">
        <v>648</v>
      </c>
      <c r="D239" t="s">
        <v>10</v>
      </c>
      <c r="E239" t="s">
        <v>607</v>
      </c>
      <c r="F239" t="s">
        <v>980</v>
      </c>
      <c r="G239" s="2">
        <v>2</v>
      </c>
      <c r="H239" s="2">
        <f>2*99</f>
        <v>198</v>
      </c>
      <c r="I239" t="s">
        <v>11</v>
      </c>
      <c r="J239" s="9">
        <v>45757</v>
      </c>
      <c r="K239" t="str">
        <f t="shared" si="3"/>
        <v>SUBSCRIPTION</v>
      </c>
      <c r="N239" s="4" t="s">
        <v>363</v>
      </c>
      <c r="O239" t="s">
        <v>715</v>
      </c>
    </row>
    <row r="240" spans="1:16" x14ac:dyDescent="0.25">
      <c r="A240" t="s">
        <v>827</v>
      </c>
      <c r="B240" s="8">
        <v>45757</v>
      </c>
      <c r="C240" t="s">
        <v>648</v>
      </c>
      <c r="D240" t="s">
        <v>18</v>
      </c>
      <c r="E240" t="s">
        <v>607</v>
      </c>
      <c r="F240" t="s">
        <v>651</v>
      </c>
      <c r="G240" s="2">
        <v>1</v>
      </c>
      <c r="H240" s="2">
        <v>117</v>
      </c>
      <c r="I240" t="s">
        <v>11</v>
      </c>
      <c r="J240" s="9">
        <v>45757</v>
      </c>
      <c r="K240" t="str">
        <f t="shared" si="3"/>
        <v>SUBSCRIPTION</v>
      </c>
      <c r="N240" s="5" t="s">
        <v>623</v>
      </c>
      <c r="O240">
        <v>269</v>
      </c>
    </row>
    <row r="241" spans="1:15" x14ac:dyDescent="0.25">
      <c r="A241" t="s">
        <v>828</v>
      </c>
      <c r="B241" s="8">
        <v>45757</v>
      </c>
      <c r="C241" t="s">
        <v>648</v>
      </c>
      <c r="D241" t="s">
        <v>10</v>
      </c>
      <c r="E241" t="s">
        <v>607</v>
      </c>
      <c r="F241" t="s">
        <v>662</v>
      </c>
      <c r="G241" s="2">
        <v>1</v>
      </c>
      <c r="H241" s="2">
        <v>129</v>
      </c>
      <c r="I241" t="s">
        <v>11</v>
      </c>
      <c r="J241" s="9">
        <v>45757</v>
      </c>
      <c r="K241" t="str">
        <f t="shared" si="3"/>
        <v>SUBSCRIPTION</v>
      </c>
      <c r="N241" s="5" t="s">
        <v>607</v>
      </c>
      <c r="O241">
        <v>298</v>
      </c>
    </row>
    <row r="242" spans="1:15" hidden="1" x14ac:dyDescent="0.25">
      <c r="A242" t="s">
        <v>829</v>
      </c>
      <c r="B242" s="8">
        <v>45757</v>
      </c>
      <c r="C242" t="s">
        <v>648</v>
      </c>
      <c r="D242" t="s">
        <v>10</v>
      </c>
      <c r="E242" t="s">
        <v>623</v>
      </c>
      <c r="F242" t="s">
        <v>426</v>
      </c>
      <c r="G242" s="2">
        <v>1</v>
      </c>
      <c r="H242" s="2">
        <v>360</v>
      </c>
      <c r="I242" t="s">
        <v>34</v>
      </c>
      <c r="J242" s="9">
        <v>45757</v>
      </c>
      <c r="K242" t="str">
        <f t="shared" si="3"/>
        <v>REGULAR</v>
      </c>
      <c r="N242" s="5" t="s">
        <v>368</v>
      </c>
      <c r="O242">
        <v>567</v>
      </c>
    </row>
    <row r="243" spans="1:15" hidden="1" x14ac:dyDescent="0.25">
      <c r="F243" t="s">
        <v>431</v>
      </c>
      <c r="G243" s="2">
        <v>1</v>
      </c>
      <c r="I243" t="s">
        <v>34</v>
      </c>
      <c r="J243" s="9">
        <f>J242</f>
        <v>45757</v>
      </c>
      <c r="K243" t="str">
        <f t="shared" si="3"/>
        <v>REGULAR</v>
      </c>
    </row>
    <row r="244" spans="1:15" hidden="1" x14ac:dyDescent="0.25">
      <c r="F244" t="s">
        <v>772</v>
      </c>
      <c r="G244" s="2">
        <v>1</v>
      </c>
      <c r="I244" t="s">
        <v>11</v>
      </c>
      <c r="J244" s="9">
        <f>J243</f>
        <v>45757</v>
      </c>
      <c r="K244" t="str">
        <f t="shared" si="3"/>
        <v>REGULAR</v>
      </c>
    </row>
    <row r="245" spans="1:15" hidden="1" x14ac:dyDescent="0.25">
      <c r="A245" t="s">
        <v>830</v>
      </c>
      <c r="B245" s="8">
        <v>45757</v>
      </c>
      <c r="C245" t="s">
        <v>648</v>
      </c>
      <c r="D245" t="s">
        <v>10</v>
      </c>
      <c r="E245" t="s">
        <v>623</v>
      </c>
      <c r="F245" t="s">
        <v>675</v>
      </c>
      <c r="G245" s="2">
        <v>1</v>
      </c>
      <c r="H245" s="2">
        <v>410</v>
      </c>
      <c r="I245" t="s">
        <v>11</v>
      </c>
      <c r="J245" s="9">
        <v>45757</v>
      </c>
      <c r="K245" t="str">
        <f t="shared" si="3"/>
        <v>REGULAR</v>
      </c>
    </row>
    <row r="246" spans="1:15" hidden="1" x14ac:dyDescent="0.25">
      <c r="F246" t="s">
        <v>437</v>
      </c>
      <c r="G246" s="2">
        <v>1</v>
      </c>
      <c r="I246" t="s">
        <v>34</v>
      </c>
      <c r="J246" s="9">
        <f>J245</f>
        <v>45757</v>
      </c>
      <c r="K246" t="str">
        <f t="shared" si="3"/>
        <v>REGULAR</v>
      </c>
    </row>
    <row r="247" spans="1:15" hidden="1" x14ac:dyDescent="0.25">
      <c r="A247" t="s">
        <v>831</v>
      </c>
      <c r="B247" s="8">
        <v>45757</v>
      </c>
      <c r="C247" t="s">
        <v>648</v>
      </c>
      <c r="D247" t="s">
        <v>10</v>
      </c>
      <c r="E247" t="s">
        <v>623</v>
      </c>
      <c r="F247" t="s">
        <v>672</v>
      </c>
      <c r="G247" s="2">
        <v>1</v>
      </c>
      <c r="H247" s="2">
        <v>640</v>
      </c>
      <c r="I247" t="s">
        <v>11</v>
      </c>
      <c r="J247" s="9">
        <v>45757</v>
      </c>
      <c r="K247" t="str">
        <f t="shared" si="3"/>
        <v>REGULAR</v>
      </c>
    </row>
    <row r="248" spans="1:15" hidden="1" x14ac:dyDescent="0.25">
      <c r="F248" t="s">
        <v>386</v>
      </c>
      <c r="G248" s="2">
        <v>1</v>
      </c>
      <c r="I248" t="s">
        <v>34</v>
      </c>
      <c r="J248" s="9">
        <f>J247</f>
        <v>45757</v>
      </c>
      <c r="K248" t="str">
        <f t="shared" si="3"/>
        <v>REGULAR</v>
      </c>
    </row>
    <row r="249" spans="1:15" hidden="1" x14ac:dyDescent="0.25">
      <c r="F249" t="s">
        <v>752</v>
      </c>
      <c r="G249" s="2">
        <v>1</v>
      </c>
      <c r="I249" t="s">
        <v>34</v>
      </c>
      <c r="J249" s="9">
        <f>J248</f>
        <v>45757</v>
      </c>
      <c r="K249" t="str">
        <f t="shared" si="3"/>
        <v>REGULAR</v>
      </c>
    </row>
    <row r="250" spans="1:15" hidden="1" x14ac:dyDescent="0.25">
      <c r="F250" t="s">
        <v>431</v>
      </c>
      <c r="G250" s="2">
        <v>1</v>
      </c>
      <c r="I250" t="s">
        <v>34</v>
      </c>
      <c r="J250" s="9">
        <f>J249</f>
        <v>45757</v>
      </c>
      <c r="K250" t="str">
        <f t="shared" si="3"/>
        <v>REGULAR</v>
      </c>
    </row>
    <row r="251" spans="1:15" hidden="1" x14ac:dyDescent="0.25">
      <c r="A251" t="s">
        <v>832</v>
      </c>
      <c r="B251" s="8">
        <v>45757</v>
      </c>
      <c r="C251" t="s">
        <v>648</v>
      </c>
      <c r="D251" t="s">
        <v>10</v>
      </c>
      <c r="E251" t="s">
        <v>623</v>
      </c>
      <c r="F251" t="s">
        <v>394</v>
      </c>
      <c r="G251" s="2">
        <v>1</v>
      </c>
      <c r="H251" s="2">
        <v>200</v>
      </c>
      <c r="I251" t="s">
        <v>34</v>
      </c>
      <c r="J251" s="9">
        <v>45757</v>
      </c>
      <c r="K251" t="str">
        <f t="shared" si="3"/>
        <v>REGULAR</v>
      </c>
      <c r="N251" s="28" t="s">
        <v>1369</v>
      </c>
      <c r="O251" s="28"/>
    </row>
    <row r="252" spans="1:15" hidden="1" x14ac:dyDescent="0.25">
      <c r="A252" t="s">
        <v>833</v>
      </c>
      <c r="B252" s="8">
        <v>45757</v>
      </c>
      <c r="C252" t="s">
        <v>648</v>
      </c>
      <c r="D252" t="s">
        <v>10</v>
      </c>
      <c r="E252" t="s">
        <v>623</v>
      </c>
      <c r="F252" t="s">
        <v>999</v>
      </c>
      <c r="G252" s="2">
        <v>1</v>
      </c>
      <c r="H252" s="2">
        <v>225</v>
      </c>
      <c r="I252" t="s">
        <v>11</v>
      </c>
      <c r="J252" s="9">
        <v>45757</v>
      </c>
      <c r="K252" t="str">
        <f t="shared" si="3"/>
        <v>REGULAR</v>
      </c>
    </row>
    <row r="253" spans="1:15" hidden="1" x14ac:dyDescent="0.25">
      <c r="F253" t="s">
        <v>488</v>
      </c>
      <c r="G253" s="2">
        <v>1</v>
      </c>
      <c r="I253" t="s">
        <v>11</v>
      </c>
      <c r="J253" s="9"/>
      <c r="K253" t="str">
        <f t="shared" si="3"/>
        <v>REGULAR</v>
      </c>
      <c r="N253" s="4" t="s">
        <v>363</v>
      </c>
      <c r="O253" t="s">
        <v>750</v>
      </c>
    </row>
    <row r="254" spans="1:15" hidden="1" x14ac:dyDescent="0.25">
      <c r="F254" t="s">
        <v>789</v>
      </c>
      <c r="G254" s="2">
        <v>1</v>
      </c>
      <c r="I254" t="s">
        <v>11</v>
      </c>
      <c r="J254" s="9"/>
      <c r="K254" t="str">
        <f t="shared" si="3"/>
        <v>REGULAR</v>
      </c>
      <c r="N254" s="5" t="s">
        <v>736</v>
      </c>
      <c r="O254">
        <v>10824</v>
      </c>
    </row>
    <row r="255" spans="1:15" x14ac:dyDescent="0.25">
      <c r="A255" t="s">
        <v>834</v>
      </c>
      <c r="B255" s="8">
        <v>45758</v>
      </c>
      <c r="C255" t="s">
        <v>678</v>
      </c>
      <c r="D255" t="s">
        <v>10</v>
      </c>
      <c r="E255" t="s">
        <v>607</v>
      </c>
      <c r="F255" t="s">
        <v>988</v>
      </c>
      <c r="G255" s="2">
        <v>1</v>
      </c>
      <c r="H255" s="2">
        <v>129</v>
      </c>
      <c r="I255" t="s">
        <v>34</v>
      </c>
      <c r="J255" s="9">
        <v>45758</v>
      </c>
      <c r="K255" t="str">
        <f t="shared" si="3"/>
        <v>SUBSCRIPTION</v>
      </c>
      <c r="N255" s="5" t="s">
        <v>606</v>
      </c>
      <c r="O255">
        <v>17198</v>
      </c>
    </row>
    <row r="256" spans="1:15" x14ac:dyDescent="0.25">
      <c r="A256" t="s">
        <v>835</v>
      </c>
      <c r="B256" s="8">
        <v>45758</v>
      </c>
      <c r="C256" t="s">
        <v>678</v>
      </c>
      <c r="D256" t="s">
        <v>18</v>
      </c>
      <c r="E256" t="s">
        <v>607</v>
      </c>
      <c r="F256" t="s">
        <v>993</v>
      </c>
      <c r="G256" s="2">
        <v>1</v>
      </c>
      <c r="H256" s="2">
        <v>99</v>
      </c>
      <c r="I256" t="s">
        <v>34</v>
      </c>
      <c r="J256" s="9">
        <v>45758</v>
      </c>
      <c r="K256" t="str">
        <f t="shared" si="3"/>
        <v>SUBSCRIPTION</v>
      </c>
      <c r="N256" s="5" t="s">
        <v>632</v>
      </c>
      <c r="O256">
        <v>16681</v>
      </c>
    </row>
    <row r="257" spans="1:15" x14ac:dyDescent="0.25">
      <c r="A257" t="s">
        <v>877</v>
      </c>
      <c r="B257" s="8">
        <v>45758</v>
      </c>
      <c r="C257" t="s">
        <v>678</v>
      </c>
      <c r="D257" t="s">
        <v>18</v>
      </c>
      <c r="E257" t="s">
        <v>607</v>
      </c>
      <c r="F257" t="s">
        <v>1084</v>
      </c>
      <c r="G257" s="2">
        <v>1</v>
      </c>
      <c r="H257" s="2">
        <v>129</v>
      </c>
      <c r="I257" t="s">
        <v>34</v>
      </c>
      <c r="J257" s="9"/>
      <c r="K257" t="str">
        <f t="shared" si="3"/>
        <v>SUBSCRIPTION</v>
      </c>
      <c r="N257" s="5" t="s">
        <v>648</v>
      </c>
      <c r="O257">
        <v>19746</v>
      </c>
    </row>
    <row r="258" spans="1:15" x14ac:dyDescent="0.25">
      <c r="A258" t="s">
        <v>878</v>
      </c>
      <c r="B258" s="8">
        <v>45758</v>
      </c>
      <c r="C258" t="s">
        <v>678</v>
      </c>
      <c r="D258" t="s">
        <v>10</v>
      </c>
      <c r="E258" t="s">
        <v>607</v>
      </c>
      <c r="F258" t="s">
        <v>879</v>
      </c>
      <c r="G258" s="2">
        <v>2</v>
      </c>
      <c r="H258" s="2">
        <v>99</v>
      </c>
      <c r="I258" t="s">
        <v>11</v>
      </c>
      <c r="J258" s="9"/>
      <c r="K258" t="str">
        <f t="shared" ref="K258:K321" si="4">IF(E258&lt;&gt;"", E258, K257)</f>
        <v>SUBSCRIPTION</v>
      </c>
      <c r="N258" s="5" t="s">
        <v>678</v>
      </c>
      <c r="O258">
        <v>17525</v>
      </c>
    </row>
    <row r="259" spans="1:15" x14ac:dyDescent="0.25">
      <c r="A259" t="s">
        <v>880</v>
      </c>
      <c r="B259" s="8">
        <v>45758</v>
      </c>
      <c r="C259" t="s">
        <v>678</v>
      </c>
      <c r="D259" t="s">
        <v>21</v>
      </c>
      <c r="E259" t="s">
        <v>607</v>
      </c>
      <c r="F259" t="s">
        <v>1323</v>
      </c>
      <c r="G259" s="2">
        <v>2</v>
      </c>
      <c r="H259" s="2">
        <f>2*99</f>
        <v>198</v>
      </c>
      <c r="I259" t="s">
        <v>11</v>
      </c>
      <c r="J259" s="9"/>
      <c r="K259" t="str">
        <f t="shared" si="4"/>
        <v>SUBSCRIPTION</v>
      </c>
      <c r="N259" s="5" t="s">
        <v>703</v>
      </c>
      <c r="O259">
        <v>15955</v>
      </c>
    </row>
    <row r="260" spans="1:15" x14ac:dyDescent="0.25">
      <c r="A260" t="s">
        <v>881</v>
      </c>
      <c r="B260" s="8">
        <v>45758</v>
      </c>
      <c r="C260" t="s">
        <v>678</v>
      </c>
      <c r="D260" t="s">
        <v>10</v>
      </c>
      <c r="E260" t="s">
        <v>607</v>
      </c>
      <c r="F260" t="s">
        <v>882</v>
      </c>
      <c r="G260" s="2">
        <v>1</v>
      </c>
      <c r="H260" s="2">
        <v>129</v>
      </c>
      <c r="I260" t="s">
        <v>11</v>
      </c>
      <c r="J260" s="9"/>
      <c r="K260" t="str">
        <f t="shared" si="4"/>
        <v>SUBSCRIPTION</v>
      </c>
      <c r="N260" s="5" t="s">
        <v>724</v>
      </c>
      <c r="O260">
        <v>20057</v>
      </c>
    </row>
    <row r="261" spans="1:15" x14ac:dyDescent="0.25">
      <c r="A261" t="s">
        <v>883</v>
      </c>
      <c r="B261" s="8">
        <v>45758</v>
      </c>
      <c r="C261" t="s">
        <v>678</v>
      </c>
      <c r="D261" t="s">
        <v>18</v>
      </c>
      <c r="E261" t="s">
        <v>607</v>
      </c>
      <c r="F261" t="s">
        <v>680</v>
      </c>
      <c r="G261" s="2">
        <v>1</v>
      </c>
      <c r="H261" s="2">
        <v>99</v>
      </c>
      <c r="I261" t="s">
        <v>11</v>
      </c>
      <c r="J261" s="9"/>
      <c r="K261" t="str">
        <f t="shared" si="4"/>
        <v>SUBSCRIPTION</v>
      </c>
      <c r="N261" s="5" t="s">
        <v>1339</v>
      </c>
    </row>
    <row r="262" spans="1:15" x14ac:dyDescent="0.25">
      <c r="A262" t="s">
        <v>884</v>
      </c>
      <c r="B262" s="8">
        <v>45758</v>
      </c>
      <c r="C262" t="s">
        <v>678</v>
      </c>
      <c r="D262" t="s">
        <v>10</v>
      </c>
      <c r="E262" t="s">
        <v>607</v>
      </c>
      <c r="F262" t="s">
        <v>988</v>
      </c>
      <c r="G262" s="2">
        <v>1</v>
      </c>
      <c r="H262" s="2">
        <v>129</v>
      </c>
      <c r="I262" t="s">
        <v>34</v>
      </c>
      <c r="J262" s="9"/>
      <c r="K262" t="str">
        <f t="shared" si="4"/>
        <v>SUBSCRIPTION</v>
      </c>
      <c r="N262" s="5" t="s">
        <v>368</v>
      </c>
      <c r="O262">
        <v>117986</v>
      </c>
    </row>
    <row r="263" spans="1:15" x14ac:dyDescent="0.25">
      <c r="A263" t="s">
        <v>885</v>
      </c>
      <c r="B263" s="8">
        <v>45758</v>
      </c>
      <c r="C263" t="s">
        <v>678</v>
      </c>
      <c r="D263" t="s">
        <v>21</v>
      </c>
      <c r="E263" t="s">
        <v>607</v>
      </c>
      <c r="F263" t="s">
        <v>1323</v>
      </c>
      <c r="G263" s="2">
        <v>1</v>
      </c>
      <c r="H263" s="2">
        <v>99</v>
      </c>
      <c r="I263" t="s">
        <v>11</v>
      </c>
      <c r="J263" s="9"/>
      <c r="K263" t="str">
        <f t="shared" si="4"/>
        <v>SUBSCRIPTION</v>
      </c>
    </row>
    <row r="264" spans="1:15" x14ac:dyDescent="0.25">
      <c r="A264" t="s">
        <v>887</v>
      </c>
      <c r="B264" s="8">
        <v>45759</v>
      </c>
      <c r="C264" t="s">
        <v>703</v>
      </c>
      <c r="D264" t="s">
        <v>18</v>
      </c>
      <c r="E264" t="s">
        <v>607</v>
      </c>
      <c r="F264" t="s">
        <v>886</v>
      </c>
      <c r="G264" s="2">
        <v>1</v>
      </c>
      <c r="H264" s="2">
        <v>79</v>
      </c>
      <c r="I264" t="s">
        <v>11</v>
      </c>
      <c r="J264" s="9"/>
      <c r="K264" t="str">
        <f t="shared" si="4"/>
        <v>SUBSCRIPTION</v>
      </c>
    </row>
    <row r="265" spans="1:15" x14ac:dyDescent="0.25">
      <c r="A265" t="s">
        <v>888</v>
      </c>
      <c r="B265" s="8">
        <v>45759</v>
      </c>
      <c r="C265" t="s">
        <v>703</v>
      </c>
      <c r="D265" t="s">
        <v>18</v>
      </c>
      <c r="E265" t="s">
        <v>607</v>
      </c>
      <c r="F265" t="s">
        <v>1093</v>
      </c>
      <c r="G265" s="2">
        <v>1</v>
      </c>
      <c r="H265" s="2">
        <v>149</v>
      </c>
      <c r="I265" t="s">
        <v>34</v>
      </c>
      <c r="J265" s="9"/>
      <c r="K265" t="str">
        <f t="shared" si="4"/>
        <v>SUBSCRIPTION</v>
      </c>
      <c r="N265" s="28" t="s">
        <v>1370</v>
      </c>
      <c r="O265" s="28"/>
    </row>
    <row r="266" spans="1:15" x14ac:dyDescent="0.25">
      <c r="A266" t="s">
        <v>889</v>
      </c>
      <c r="B266" s="8">
        <v>45759</v>
      </c>
      <c r="C266" t="s">
        <v>703</v>
      </c>
      <c r="D266" t="s">
        <v>21</v>
      </c>
      <c r="E266" t="s">
        <v>607</v>
      </c>
      <c r="F266" t="s">
        <v>1009</v>
      </c>
      <c r="G266" s="2">
        <v>2</v>
      </c>
      <c r="H266" s="2">
        <f>2*79</f>
        <v>158</v>
      </c>
      <c r="I266" t="s">
        <v>11</v>
      </c>
      <c r="J266" s="9"/>
      <c r="K266" t="str">
        <f t="shared" si="4"/>
        <v>SUBSCRIPTION</v>
      </c>
    </row>
    <row r="267" spans="1:15" x14ac:dyDescent="0.25">
      <c r="A267" t="s">
        <v>890</v>
      </c>
      <c r="B267" s="8">
        <v>45759</v>
      </c>
      <c r="C267" t="s">
        <v>703</v>
      </c>
      <c r="D267" t="s">
        <v>10</v>
      </c>
      <c r="E267" t="s">
        <v>607</v>
      </c>
      <c r="F267" t="s">
        <v>891</v>
      </c>
      <c r="G267" s="2">
        <v>1</v>
      </c>
      <c r="H267" s="2">
        <v>117</v>
      </c>
      <c r="I267" t="s">
        <v>34</v>
      </c>
      <c r="J267" s="9"/>
      <c r="K267" t="str">
        <f t="shared" si="4"/>
        <v>SUBSCRIPTION</v>
      </c>
      <c r="N267" s="4" t="s">
        <v>363</v>
      </c>
      <c r="O267" t="s">
        <v>750</v>
      </c>
    </row>
    <row r="268" spans="1:15" x14ac:dyDescent="0.25">
      <c r="A268" t="s">
        <v>892</v>
      </c>
      <c r="B268" s="8">
        <v>45759</v>
      </c>
      <c r="C268" t="s">
        <v>703</v>
      </c>
      <c r="D268" t="s">
        <v>21</v>
      </c>
      <c r="E268" t="s">
        <v>607</v>
      </c>
      <c r="F268" t="s">
        <v>1009</v>
      </c>
      <c r="G268" s="2">
        <v>1</v>
      </c>
      <c r="H268" s="2">
        <v>79</v>
      </c>
      <c r="I268" t="s">
        <v>11</v>
      </c>
      <c r="J268" s="9"/>
      <c r="K268" t="str">
        <f t="shared" si="4"/>
        <v>SUBSCRIPTION</v>
      </c>
      <c r="N268" s="11">
        <v>45748</v>
      </c>
      <c r="O268">
        <v>1556</v>
      </c>
    </row>
    <row r="269" spans="1:15" x14ac:dyDescent="0.25">
      <c r="A269" t="s">
        <v>894</v>
      </c>
      <c r="B269" s="8">
        <v>45759</v>
      </c>
      <c r="C269" t="s">
        <v>703</v>
      </c>
      <c r="D269" t="s">
        <v>10</v>
      </c>
      <c r="E269" t="s">
        <v>607</v>
      </c>
      <c r="F269" t="s">
        <v>893</v>
      </c>
      <c r="G269" s="2">
        <v>2</v>
      </c>
      <c r="H269" s="2">
        <v>79</v>
      </c>
      <c r="I269" t="s">
        <v>11</v>
      </c>
      <c r="J269" s="9"/>
      <c r="K269" t="str">
        <f t="shared" si="4"/>
        <v>SUBSCRIPTION</v>
      </c>
      <c r="N269" s="11">
        <v>45749</v>
      </c>
      <c r="O269">
        <v>1660</v>
      </c>
    </row>
    <row r="270" spans="1:15" x14ac:dyDescent="0.25">
      <c r="A270" t="s">
        <v>895</v>
      </c>
      <c r="B270" s="8">
        <v>45759</v>
      </c>
      <c r="C270" t="s">
        <v>703</v>
      </c>
      <c r="D270" t="s">
        <v>10</v>
      </c>
      <c r="E270" t="s">
        <v>607</v>
      </c>
      <c r="F270" t="s">
        <v>896</v>
      </c>
      <c r="G270" s="2">
        <v>1</v>
      </c>
      <c r="H270" s="2">
        <v>112</v>
      </c>
      <c r="I270" t="s">
        <v>11</v>
      </c>
      <c r="J270" s="9"/>
      <c r="K270" t="str">
        <f t="shared" si="4"/>
        <v>SUBSCRIPTION</v>
      </c>
      <c r="N270" s="11">
        <v>45750</v>
      </c>
      <c r="O270">
        <v>3044</v>
      </c>
    </row>
    <row r="271" spans="1:15" hidden="1" x14ac:dyDescent="0.25">
      <c r="A271" t="s">
        <v>897</v>
      </c>
      <c r="B271" s="8">
        <v>45759</v>
      </c>
      <c r="C271" t="s">
        <v>703</v>
      </c>
      <c r="D271" t="s">
        <v>10</v>
      </c>
      <c r="E271" t="s">
        <v>623</v>
      </c>
      <c r="F271" t="s">
        <v>699</v>
      </c>
      <c r="G271" s="2">
        <v>1</v>
      </c>
      <c r="H271" s="2">
        <v>270</v>
      </c>
      <c r="I271" t="s">
        <v>11</v>
      </c>
      <c r="J271" s="9"/>
      <c r="K271" t="str">
        <f t="shared" si="4"/>
        <v>REGULAR</v>
      </c>
      <c r="N271" s="11">
        <v>45751</v>
      </c>
      <c r="O271">
        <v>3891</v>
      </c>
    </row>
    <row r="272" spans="1:15" hidden="1" x14ac:dyDescent="0.25">
      <c r="F272" t="s">
        <v>428</v>
      </c>
      <c r="G272" s="2">
        <v>1</v>
      </c>
      <c r="I272" t="s">
        <v>11</v>
      </c>
      <c r="J272" s="9"/>
      <c r="K272" t="str">
        <f t="shared" si="4"/>
        <v>REGULAR</v>
      </c>
      <c r="N272" s="11">
        <v>45752</v>
      </c>
      <c r="O272">
        <v>3817</v>
      </c>
    </row>
    <row r="273" spans="1:15" hidden="1" x14ac:dyDescent="0.25">
      <c r="F273" t="s">
        <v>406</v>
      </c>
      <c r="G273" s="2">
        <v>1</v>
      </c>
      <c r="I273" t="s">
        <v>34</v>
      </c>
      <c r="J273" s="9"/>
      <c r="K273" t="str">
        <f t="shared" si="4"/>
        <v>REGULAR</v>
      </c>
      <c r="N273" s="11">
        <v>45753</v>
      </c>
      <c r="O273">
        <v>5736</v>
      </c>
    </row>
    <row r="274" spans="1:15" hidden="1" x14ac:dyDescent="0.25">
      <c r="A274" t="s">
        <v>898</v>
      </c>
      <c r="B274" s="8">
        <v>45759</v>
      </c>
      <c r="C274" t="s">
        <v>703</v>
      </c>
      <c r="D274" t="s">
        <v>10</v>
      </c>
      <c r="E274" t="s">
        <v>623</v>
      </c>
      <c r="F274" t="s">
        <v>392</v>
      </c>
      <c r="G274" s="2">
        <v>1</v>
      </c>
      <c r="H274" s="2">
        <v>350</v>
      </c>
      <c r="I274" t="s">
        <v>34</v>
      </c>
      <c r="J274" s="9"/>
      <c r="K274" t="str">
        <f t="shared" si="4"/>
        <v>REGULAR</v>
      </c>
      <c r="N274" s="11">
        <v>45754</v>
      </c>
      <c r="O274">
        <v>3772</v>
      </c>
    </row>
    <row r="275" spans="1:15" hidden="1" x14ac:dyDescent="0.25">
      <c r="F275" t="s">
        <v>395</v>
      </c>
      <c r="G275" s="2">
        <v>1</v>
      </c>
      <c r="I275" t="s">
        <v>34</v>
      </c>
      <c r="J275" s="9"/>
      <c r="K275" t="str">
        <f t="shared" si="4"/>
        <v>REGULAR</v>
      </c>
      <c r="N275" s="11">
        <v>45755</v>
      </c>
      <c r="O275">
        <v>5028</v>
      </c>
    </row>
    <row r="276" spans="1:15" hidden="1" x14ac:dyDescent="0.25">
      <c r="A276" t="s">
        <v>899</v>
      </c>
      <c r="B276" s="8">
        <v>45759</v>
      </c>
      <c r="C276" t="s">
        <v>703</v>
      </c>
      <c r="D276" t="s">
        <v>10</v>
      </c>
      <c r="E276" t="s">
        <v>623</v>
      </c>
      <c r="F276" t="s">
        <v>430</v>
      </c>
      <c r="G276" s="2">
        <v>1</v>
      </c>
      <c r="H276" s="2">
        <v>140</v>
      </c>
      <c r="I276" t="s">
        <v>11</v>
      </c>
      <c r="J276" s="9"/>
      <c r="K276" t="str">
        <f t="shared" si="4"/>
        <v>REGULAR</v>
      </c>
      <c r="N276" s="11">
        <v>45756</v>
      </c>
      <c r="O276">
        <v>3936</v>
      </c>
    </row>
    <row r="277" spans="1:15" hidden="1" x14ac:dyDescent="0.25">
      <c r="F277" t="s">
        <v>401</v>
      </c>
      <c r="G277" s="2">
        <v>1</v>
      </c>
      <c r="I277" t="s">
        <v>34</v>
      </c>
      <c r="J277" s="9"/>
      <c r="K277" t="str">
        <f t="shared" si="4"/>
        <v>REGULAR</v>
      </c>
      <c r="N277" s="11">
        <v>45757</v>
      </c>
      <c r="O277">
        <v>3179</v>
      </c>
    </row>
    <row r="278" spans="1:15" hidden="1" x14ac:dyDescent="0.25">
      <c r="A278" t="s">
        <v>900</v>
      </c>
      <c r="B278" s="8">
        <v>45759</v>
      </c>
      <c r="C278" t="s">
        <v>703</v>
      </c>
      <c r="D278" t="s">
        <v>10</v>
      </c>
      <c r="E278" t="s">
        <v>623</v>
      </c>
      <c r="F278" t="s">
        <v>432</v>
      </c>
      <c r="G278" s="2">
        <v>1</v>
      </c>
      <c r="H278" s="2">
        <v>420</v>
      </c>
      <c r="I278" t="s">
        <v>11</v>
      </c>
      <c r="J278" s="9"/>
      <c r="K278" t="str">
        <f t="shared" si="4"/>
        <v>REGULAR</v>
      </c>
      <c r="N278" s="11">
        <v>45758</v>
      </c>
      <c r="O278">
        <v>1110</v>
      </c>
    </row>
    <row r="279" spans="1:15" hidden="1" x14ac:dyDescent="0.25">
      <c r="F279" t="s">
        <v>411</v>
      </c>
      <c r="G279" s="2">
        <v>1</v>
      </c>
      <c r="I279" t="s">
        <v>11</v>
      </c>
      <c r="J279" s="9"/>
      <c r="K279" t="str">
        <f t="shared" si="4"/>
        <v>REGULAR</v>
      </c>
      <c r="N279" s="11">
        <v>45759</v>
      </c>
      <c r="O279">
        <v>2143</v>
      </c>
    </row>
    <row r="280" spans="1:15" hidden="1" x14ac:dyDescent="0.25">
      <c r="F280" t="s">
        <v>451</v>
      </c>
      <c r="G280" s="2">
        <v>1</v>
      </c>
      <c r="I280" t="s">
        <v>11</v>
      </c>
      <c r="J280" s="9"/>
      <c r="K280" t="str">
        <f t="shared" si="4"/>
        <v>REGULAR</v>
      </c>
      <c r="N280" s="11">
        <v>45760</v>
      </c>
      <c r="O280">
        <v>3396</v>
      </c>
    </row>
    <row r="281" spans="1:15" hidden="1" x14ac:dyDescent="0.25">
      <c r="A281" t="s">
        <v>901</v>
      </c>
      <c r="B281" s="8">
        <v>45759</v>
      </c>
      <c r="C281" t="s">
        <v>703</v>
      </c>
      <c r="D281" t="s">
        <v>10</v>
      </c>
      <c r="E281" t="s">
        <v>623</v>
      </c>
      <c r="F281" t="s">
        <v>672</v>
      </c>
      <c r="G281" s="2">
        <v>1</v>
      </c>
      <c r="H281" s="2">
        <v>190</v>
      </c>
      <c r="I281" t="s">
        <v>11</v>
      </c>
      <c r="J281" s="9"/>
      <c r="K281" t="str">
        <f t="shared" si="4"/>
        <v>REGULAR</v>
      </c>
      <c r="N281" s="11">
        <v>45761</v>
      </c>
      <c r="O281">
        <v>1184</v>
      </c>
    </row>
    <row r="282" spans="1:15" x14ac:dyDescent="0.25">
      <c r="A282" t="s">
        <v>902</v>
      </c>
      <c r="B282" s="8">
        <v>45760</v>
      </c>
      <c r="C282" t="s">
        <v>724</v>
      </c>
      <c r="D282" t="s">
        <v>18</v>
      </c>
      <c r="E282" t="s">
        <v>607</v>
      </c>
      <c r="F282" t="s">
        <v>903</v>
      </c>
      <c r="G282" s="2">
        <v>1</v>
      </c>
      <c r="H282" s="2">
        <v>129</v>
      </c>
      <c r="I282" t="s">
        <v>34</v>
      </c>
      <c r="J282" s="9"/>
      <c r="K282" t="str">
        <f t="shared" si="4"/>
        <v>SUBSCRIPTION</v>
      </c>
      <c r="N282" s="11">
        <v>45762</v>
      </c>
      <c r="O282">
        <v>1810</v>
      </c>
    </row>
    <row r="283" spans="1:15" x14ac:dyDescent="0.25">
      <c r="A283" t="s">
        <v>907</v>
      </c>
      <c r="B283" s="8">
        <v>45760</v>
      </c>
      <c r="C283" t="s">
        <v>724</v>
      </c>
      <c r="D283" t="s">
        <v>18</v>
      </c>
      <c r="E283" t="s">
        <v>607</v>
      </c>
      <c r="F283" t="s">
        <v>903</v>
      </c>
      <c r="G283" s="2">
        <v>1</v>
      </c>
      <c r="H283" s="2">
        <v>129</v>
      </c>
      <c r="I283" t="s">
        <v>11</v>
      </c>
      <c r="J283" s="9"/>
      <c r="K283" t="str">
        <f t="shared" si="4"/>
        <v>SUBSCRIPTION</v>
      </c>
      <c r="N283" s="11">
        <v>45763</v>
      </c>
      <c r="O283">
        <v>2786</v>
      </c>
    </row>
    <row r="284" spans="1:15" x14ac:dyDescent="0.25">
      <c r="A284" t="s">
        <v>904</v>
      </c>
      <c r="B284" s="8">
        <v>45760</v>
      </c>
      <c r="C284" t="s">
        <v>724</v>
      </c>
      <c r="D284" t="s">
        <v>21</v>
      </c>
      <c r="E284" t="s">
        <v>607</v>
      </c>
      <c r="F284" t="s">
        <v>908</v>
      </c>
      <c r="G284" s="2">
        <v>2</v>
      </c>
      <c r="H284" s="2">
        <f>2*99</f>
        <v>198</v>
      </c>
      <c r="I284" t="s">
        <v>11</v>
      </c>
      <c r="J284" s="9"/>
      <c r="K284" t="str">
        <f t="shared" si="4"/>
        <v>SUBSCRIPTION</v>
      </c>
      <c r="N284" s="11">
        <v>45764</v>
      </c>
      <c r="O284">
        <v>2255</v>
      </c>
    </row>
    <row r="285" spans="1:15" x14ac:dyDescent="0.25">
      <c r="A285" t="s">
        <v>906</v>
      </c>
      <c r="B285" s="8">
        <v>45760</v>
      </c>
      <c r="C285" t="s">
        <v>724</v>
      </c>
      <c r="D285" t="s">
        <v>21</v>
      </c>
      <c r="E285" t="s">
        <v>607</v>
      </c>
      <c r="F285" t="s">
        <v>1026</v>
      </c>
      <c r="G285" s="2">
        <v>1</v>
      </c>
      <c r="H285" s="2">
        <v>117</v>
      </c>
      <c r="I285" t="s">
        <v>34</v>
      </c>
      <c r="J285" s="9"/>
      <c r="K285" t="str">
        <f t="shared" si="4"/>
        <v>SUBSCRIPTION</v>
      </c>
      <c r="N285" s="11">
        <v>45765</v>
      </c>
      <c r="O285">
        <v>3280</v>
      </c>
    </row>
    <row r="286" spans="1:15" x14ac:dyDescent="0.25">
      <c r="A286" t="s">
        <v>905</v>
      </c>
      <c r="B286" s="8">
        <v>45760</v>
      </c>
      <c r="C286" t="s">
        <v>724</v>
      </c>
      <c r="D286" t="s">
        <v>10</v>
      </c>
      <c r="E286" t="s">
        <v>607</v>
      </c>
      <c r="F286" t="s">
        <v>727</v>
      </c>
      <c r="G286" s="2">
        <v>1</v>
      </c>
      <c r="H286" s="2">
        <v>129</v>
      </c>
      <c r="I286" t="s">
        <v>34</v>
      </c>
      <c r="J286" s="9"/>
      <c r="K286" t="str">
        <f t="shared" si="4"/>
        <v>SUBSCRIPTION</v>
      </c>
      <c r="N286" s="11">
        <v>45766</v>
      </c>
      <c r="O286">
        <v>3595</v>
      </c>
    </row>
    <row r="287" spans="1:15" x14ac:dyDescent="0.25">
      <c r="A287" t="s">
        <v>909</v>
      </c>
      <c r="B287" s="8">
        <v>45760</v>
      </c>
      <c r="C287" t="s">
        <v>724</v>
      </c>
      <c r="D287" t="s">
        <v>10</v>
      </c>
      <c r="E287" t="s">
        <v>607</v>
      </c>
      <c r="F287" t="s">
        <v>910</v>
      </c>
      <c r="G287" s="2">
        <v>1</v>
      </c>
      <c r="H287" s="2">
        <v>179</v>
      </c>
      <c r="I287" t="s">
        <v>34</v>
      </c>
      <c r="J287" s="9"/>
      <c r="K287" t="str">
        <f t="shared" si="4"/>
        <v>SUBSCRIPTION</v>
      </c>
      <c r="N287" s="11">
        <v>45767</v>
      </c>
      <c r="O287">
        <v>3814</v>
      </c>
    </row>
    <row r="288" spans="1:15" hidden="1" x14ac:dyDescent="0.25">
      <c r="A288" t="s">
        <v>911</v>
      </c>
      <c r="B288" s="8">
        <v>45760</v>
      </c>
      <c r="C288" t="s">
        <v>724</v>
      </c>
      <c r="D288" t="s">
        <v>10</v>
      </c>
      <c r="E288" t="s">
        <v>623</v>
      </c>
      <c r="F288" t="s">
        <v>386</v>
      </c>
      <c r="G288" s="2">
        <v>3</v>
      </c>
      <c r="H288" s="2">
        <v>420</v>
      </c>
      <c r="I288" t="s">
        <v>34</v>
      </c>
      <c r="J288" s="9"/>
      <c r="K288" t="str">
        <f t="shared" si="4"/>
        <v>REGULAR</v>
      </c>
      <c r="N288" s="11">
        <v>45768</v>
      </c>
      <c r="O288">
        <v>503</v>
      </c>
    </row>
    <row r="289" spans="1:15" hidden="1" x14ac:dyDescent="0.25">
      <c r="A289" t="s">
        <v>912</v>
      </c>
      <c r="B289" s="8">
        <v>45760</v>
      </c>
      <c r="C289" t="s">
        <v>724</v>
      </c>
      <c r="D289" t="s">
        <v>10</v>
      </c>
      <c r="E289" t="s">
        <v>623</v>
      </c>
      <c r="F289" t="s">
        <v>470</v>
      </c>
      <c r="G289" s="2">
        <v>1</v>
      </c>
      <c r="H289" s="2">
        <v>170</v>
      </c>
      <c r="I289" t="s">
        <v>34</v>
      </c>
      <c r="J289" s="9"/>
      <c r="K289" t="str">
        <f t="shared" si="4"/>
        <v>REGULAR</v>
      </c>
      <c r="N289" s="11">
        <v>45769</v>
      </c>
      <c r="O289">
        <v>1529</v>
      </c>
    </row>
    <row r="290" spans="1:15" hidden="1" x14ac:dyDescent="0.25">
      <c r="A290" t="s">
        <v>913</v>
      </c>
      <c r="B290" s="8">
        <v>45760</v>
      </c>
      <c r="C290" t="s">
        <v>724</v>
      </c>
      <c r="D290" t="s">
        <v>10</v>
      </c>
      <c r="E290" t="s">
        <v>623</v>
      </c>
      <c r="F290" t="s">
        <v>404</v>
      </c>
      <c r="G290" s="2">
        <v>1</v>
      </c>
      <c r="H290" s="2">
        <v>375</v>
      </c>
      <c r="I290" t="s">
        <v>34</v>
      </c>
      <c r="J290" s="9"/>
      <c r="K290" t="str">
        <f t="shared" si="4"/>
        <v>REGULAR</v>
      </c>
      <c r="N290" s="11">
        <v>45770</v>
      </c>
      <c r="O290">
        <v>2256</v>
      </c>
    </row>
    <row r="291" spans="1:15" hidden="1" x14ac:dyDescent="0.25">
      <c r="F291" t="s">
        <v>480</v>
      </c>
      <c r="G291" s="2">
        <v>1</v>
      </c>
      <c r="I291" t="s">
        <v>34</v>
      </c>
      <c r="J291" s="9"/>
      <c r="K291" t="str">
        <f t="shared" si="4"/>
        <v>REGULAR</v>
      </c>
      <c r="N291" s="11">
        <v>45771</v>
      </c>
      <c r="O291">
        <v>2442</v>
      </c>
    </row>
    <row r="292" spans="1:15" hidden="1" x14ac:dyDescent="0.25">
      <c r="F292" t="s">
        <v>721</v>
      </c>
      <c r="G292" s="2">
        <v>1</v>
      </c>
      <c r="I292" t="s">
        <v>11</v>
      </c>
      <c r="J292" s="9"/>
      <c r="K292" t="str">
        <f t="shared" si="4"/>
        <v>REGULAR</v>
      </c>
      <c r="N292" s="11">
        <v>45772</v>
      </c>
      <c r="O292">
        <v>874</v>
      </c>
    </row>
    <row r="293" spans="1:15" hidden="1" x14ac:dyDescent="0.25">
      <c r="A293" t="s">
        <v>914</v>
      </c>
      <c r="B293" s="8">
        <v>45760</v>
      </c>
      <c r="C293" t="s">
        <v>724</v>
      </c>
      <c r="D293" t="s">
        <v>10</v>
      </c>
      <c r="E293" t="s">
        <v>623</v>
      </c>
      <c r="F293" t="s">
        <v>721</v>
      </c>
      <c r="G293" s="2">
        <v>1</v>
      </c>
      <c r="H293" s="2">
        <v>510</v>
      </c>
      <c r="I293" t="s">
        <v>11</v>
      </c>
      <c r="J293" s="9"/>
      <c r="K293" t="str">
        <f t="shared" si="4"/>
        <v>REGULAR</v>
      </c>
      <c r="N293" s="11">
        <v>45773</v>
      </c>
      <c r="O293">
        <v>3043</v>
      </c>
    </row>
    <row r="294" spans="1:15" hidden="1" x14ac:dyDescent="0.25">
      <c r="F294" t="s">
        <v>437</v>
      </c>
      <c r="G294" s="2">
        <v>1</v>
      </c>
      <c r="I294" t="s">
        <v>34</v>
      </c>
      <c r="J294" s="9"/>
      <c r="K294" t="str">
        <f t="shared" si="4"/>
        <v>REGULAR</v>
      </c>
      <c r="N294" s="11">
        <v>45774</v>
      </c>
      <c r="O294">
        <v>2924</v>
      </c>
    </row>
    <row r="295" spans="1:15" hidden="1" x14ac:dyDescent="0.25">
      <c r="F295" t="s">
        <v>476</v>
      </c>
      <c r="G295" s="2">
        <v>1</v>
      </c>
      <c r="I295" t="s">
        <v>11</v>
      </c>
      <c r="J295" s="9"/>
      <c r="K295" t="str">
        <f t="shared" si="4"/>
        <v>REGULAR</v>
      </c>
      <c r="N295" s="11">
        <v>45775</v>
      </c>
      <c r="O295">
        <v>2690</v>
      </c>
    </row>
    <row r="296" spans="1:15" hidden="1" x14ac:dyDescent="0.25">
      <c r="A296" t="s">
        <v>915</v>
      </c>
      <c r="B296" s="8">
        <v>45760</v>
      </c>
      <c r="C296" t="s">
        <v>724</v>
      </c>
      <c r="D296" t="s">
        <v>10</v>
      </c>
      <c r="E296" t="s">
        <v>623</v>
      </c>
      <c r="F296" s="12" t="s">
        <v>428</v>
      </c>
      <c r="G296" s="2">
        <v>1</v>
      </c>
      <c r="H296" s="2">
        <v>260</v>
      </c>
      <c r="I296" t="s">
        <v>11</v>
      </c>
      <c r="J296" s="9"/>
      <c r="K296" t="str">
        <f t="shared" si="4"/>
        <v>REGULAR</v>
      </c>
      <c r="N296" s="11">
        <v>45776</v>
      </c>
      <c r="O296">
        <v>2390</v>
      </c>
    </row>
    <row r="297" spans="1:15" hidden="1" x14ac:dyDescent="0.25">
      <c r="F297" t="s">
        <v>789</v>
      </c>
      <c r="G297" s="2">
        <v>2</v>
      </c>
      <c r="I297" t="s">
        <v>11</v>
      </c>
      <c r="J297" s="9"/>
      <c r="K297" t="str">
        <f t="shared" si="4"/>
        <v>REGULAR</v>
      </c>
      <c r="N297" s="11">
        <v>45778</v>
      </c>
      <c r="O297">
        <v>3826</v>
      </c>
    </row>
    <row r="298" spans="1:15" hidden="1" x14ac:dyDescent="0.25">
      <c r="A298" t="s">
        <v>916</v>
      </c>
      <c r="B298" s="8">
        <v>45760</v>
      </c>
      <c r="C298" t="s">
        <v>724</v>
      </c>
      <c r="D298" t="s">
        <v>10</v>
      </c>
      <c r="E298" t="s">
        <v>623</v>
      </c>
      <c r="F298" t="s">
        <v>733</v>
      </c>
      <c r="G298" s="2">
        <v>1</v>
      </c>
      <c r="H298" s="2">
        <v>340</v>
      </c>
      <c r="I298" t="s">
        <v>34</v>
      </c>
      <c r="J298" s="9"/>
      <c r="K298" t="str">
        <f t="shared" si="4"/>
        <v>REGULAR</v>
      </c>
      <c r="N298" s="11">
        <v>45779</v>
      </c>
      <c r="O298">
        <v>3048</v>
      </c>
    </row>
    <row r="299" spans="1:15" hidden="1" x14ac:dyDescent="0.25">
      <c r="F299" t="s">
        <v>675</v>
      </c>
      <c r="G299" s="2">
        <v>1</v>
      </c>
      <c r="I299" t="s">
        <v>11</v>
      </c>
      <c r="J299" s="9"/>
      <c r="K299" t="str">
        <f t="shared" si="4"/>
        <v>REGULAR</v>
      </c>
      <c r="N299" s="11">
        <v>45780</v>
      </c>
      <c r="O299">
        <v>278</v>
      </c>
    </row>
    <row r="300" spans="1:15" hidden="1" x14ac:dyDescent="0.25">
      <c r="F300" t="s">
        <v>667</v>
      </c>
      <c r="G300" s="2">
        <v>1</v>
      </c>
      <c r="I300" t="s">
        <v>11</v>
      </c>
      <c r="J300" s="9"/>
      <c r="K300" t="str">
        <f t="shared" si="4"/>
        <v>REGULAR</v>
      </c>
      <c r="N300" s="11">
        <v>45781</v>
      </c>
      <c r="O300">
        <v>280</v>
      </c>
    </row>
    <row r="301" spans="1:15" hidden="1" x14ac:dyDescent="0.25">
      <c r="A301" t="s">
        <v>917</v>
      </c>
      <c r="B301" s="8">
        <v>45760</v>
      </c>
      <c r="C301" t="s">
        <v>724</v>
      </c>
      <c r="D301" t="s">
        <v>10</v>
      </c>
      <c r="E301" t="s">
        <v>623</v>
      </c>
      <c r="F301" t="s">
        <v>428</v>
      </c>
      <c r="G301" s="2">
        <v>1</v>
      </c>
      <c r="H301" s="2">
        <v>440</v>
      </c>
      <c r="I301" t="s">
        <v>11</v>
      </c>
      <c r="J301" s="9"/>
      <c r="K301" t="str">
        <f t="shared" si="4"/>
        <v>REGULAR</v>
      </c>
      <c r="N301" s="11">
        <v>45782</v>
      </c>
      <c r="O301">
        <v>289</v>
      </c>
    </row>
    <row r="302" spans="1:15" hidden="1" x14ac:dyDescent="0.25">
      <c r="F302" t="s">
        <v>406</v>
      </c>
      <c r="G302" s="2">
        <v>1</v>
      </c>
      <c r="I302" t="s">
        <v>34</v>
      </c>
      <c r="J302" s="9"/>
      <c r="K302" t="str">
        <f t="shared" si="4"/>
        <v>REGULAR</v>
      </c>
      <c r="N302" s="11">
        <v>45783</v>
      </c>
      <c r="O302">
        <v>1984</v>
      </c>
    </row>
    <row r="303" spans="1:15" hidden="1" x14ac:dyDescent="0.25">
      <c r="F303" t="s">
        <v>675</v>
      </c>
      <c r="G303" s="2">
        <v>2</v>
      </c>
      <c r="I303" t="s">
        <v>11</v>
      </c>
      <c r="J303" s="9"/>
      <c r="K303" t="str">
        <f t="shared" si="4"/>
        <v>REGULAR</v>
      </c>
      <c r="N303" s="11">
        <v>45784</v>
      </c>
      <c r="O303">
        <v>2179</v>
      </c>
    </row>
    <row r="304" spans="1:15" hidden="1" x14ac:dyDescent="0.25">
      <c r="F304" t="s">
        <v>488</v>
      </c>
      <c r="G304" s="2">
        <v>1</v>
      </c>
      <c r="I304" t="s">
        <v>11</v>
      </c>
      <c r="J304" s="9"/>
      <c r="K304" t="str">
        <f t="shared" si="4"/>
        <v>REGULAR</v>
      </c>
      <c r="N304" s="11">
        <v>45785</v>
      </c>
      <c r="O304">
        <v>2409</v>
      </c>
    </row>
    <row r="305" spans="1:15" x14ac:dyDescent="0.25">
      <c r="A305" t="s">
        <v>918</v>
      </c>
      <c r="B305" s="8">
        <v>45761</v>
      </c>
      <c r="C305" t="s">
        <v>736</v>
      </c>
      <c r="D305" t="s">
        <v>10</v>
      </c>
      <c r="E305" t="s">
        <v>607</v>
      </c>
      <c r="F305" t="s">
        <v>765</v>
      </c>
      <c r="G305" s="2">
        <v>1</v>
      </c>
      <c r="H305" s="2">
        <v>117</v>
      </c>
      <c r="I305" t="s">
        <v>11</v>
      </c>
      <c r="J305" s="9"/>
      <c r="K305" t="str">
        <f t="shared" si="4"/>
        <v>SUBSCRIPTION</v>
      </c>
      <c r="N305" s="11">
        <v>45786</v>
      </c>
      <c r="O305">
        <v>3938</v>
      </c>
    </row>
    <row r="306" spans="1:15" x14ac:dyDescent="0.25">
      <c r="A306" t="s">
        <v>919</v>
      </c>
      <c r="B306" s="8">
        <v>45761</v>
      </c>
      <c r="C306" t="s">
        <v>736</v>
      </c>
      <c r="D306" t="s">
        <v>21</v>
      </c>
      <c r="E306" t="s">
        <v>607</v>
      </c>
      <c r="F306" t="s">
        <v>759</v>
      </c>
      <c r="G306" s="2">
        <v>1</v>
      </c>
      <c r="H306" s="2">
        <v>99</v>
      </c>
      <c r="I306" t="s">
        <v>11</v>
      </c>
      <c r="J306" s="9"/>
      <c r="K306" t="str">
        <f t="shared" si="4"/>
        <v>SUBSCRIPTION</v>
      </c>
      <c r="N306" s="11">
        <v>45787</v>
      </c>
      <c r="O306">
        <v>2674</v>
      </c>
    </row>
    <row r="307" spans="1:15" x14ac:dyDescent="0.25">
      <c r="A307" t="s">
        <v>920</v>
      </c>
      <c r="B307" s="8">
        <v>45761</v>
      </c>
      <c r="C307" t="s">
        <v>736</v>
      </c>
      <c r="D307" t="s">
        <v>21</v>
      </c>
      <c r="E307" t="s">
        <v>607</v>
      </c>
      <c r="F307" t="s">
        <v>921</v>
      </c>
      <c r="G307" s="2">
        <v>2</v>
      </c>
      <c r="H307" s="2">
        <f>2*79</f>
        <v>158</v>
      </c>
      <c r="I307" t="s">
        <v>11</v>
      </c>
      <c r="J307" s="9"/>
      <c r="K307" t="str">
        <f t="shared" si="4"/>
        <v>SUBSCRIPTION</v>
      </c>
      <c r="N307" s="11">
        <v>45788</v>
      </c>
      <c r="O307">
        <v>3527</v>
      </c>
    </row>
    <row r="308" spans="1:15" x14ac:dyDescent="0.25">
      <c r="A308" t="s">
        <v>922</v>
      </c>
      <c r="B308" s="8">
        <v>45761</v>
      </c>
      <c r="C308" t="s">
        <v>736</v>
      </c>
      <c r="D308" t="s">
        <v>10</v>
      </c>
      <c r="E308" t="s">
        <v>607</v>
      </c>
      <c r="F308" t="s">
        <v>765</v>
      </c>
      <c r="G308" s="2">
        <v>1</v>
      </c>
      <c r="H308" s="2">
        <v>117</v>
      </c>
      <c r="I308" t="s">
        <v>11</v>
      </c>
      <c r="J308" s="9"/>
      <c r="K308" t="str">
        <f t="shared" si="4"/>
        <v>SUBSCRIPTION</v>
      </c>
      <c r="N308" s="11">
        <v>45789</v>
      </c>
      <c r="O308">
        <v>2257</v>
      </c>
    </row>
    <row r="309" spans="1:15" x14ac:dyDescent="0.25">
      <c r="A309" t="s">
        <v>923</v>
      </c>
      <c r="B309" s="8">
        <v>45761</v>
      </c>
      <c r="C309" t="s">
        <v>736</v>
      </c>
      <c r="D309" t="s">
        <v>18</v>
      </c>
      <c r="E309" t="s">
        <v>607</v>
      </c>
      <c r="F309" t="s">
        <v>762</v>
      </c>
      <c r="G309" s="2">
        <v>1</v>
      </c>
      <c r="H309" s="2">
        <v>117</v>
      </c>
      <c r="I309" t="s">
        <v>34</v>
      </c>
      <c r="J309" s="9"/>
      <c r="K309" t="str">
        <f t="shared" si="4"/>
        <v>SUBSCRIPTION</v>
      </c>
      <c r="N309" s="11">
        <v>45790</v>
      </c>
      <c r="O309">
        <v>2901</v>
      </c>
    </row>
    <row r="310" spans="1:15" x14ac:dyDescent="0.25">
      <c r="A310" t="s">
        <v>924</v>
      </c>
      <c r="B310" s="8">
        <v>45761</v>
      </c>
      <c r="C310" t="s">
        <v>736</v>
      </c>
      <c r="D310" t="s">
        <v>18</v>
      </c>
      <c r="E310" t="s">
        <v>607</v>
      </c>
      <c r="F310" t="s">
        <v>756</v>
      </c>
      <c r="G310" s="2">
        <v>1</v>
      </c>
      <c r="H310" s="2">
        <v>79</v>
      </c>
      <c r="I310" t="s">
        <v>11</v>
      </c>
      <c r="J310" s="9"/>
      <c r="K310" t="str">
        <f t="shared" si="4"/>
        <v>SUBSCRIPTION</v>
      </c>
      <c r="N310" s="11">
        <v>45791</v>
      </c>
      <c r="O310">
        <v>3864</v>
      </c>
    </row>
    <row r="311" spans="1:15" x14ac:dyDescent="0.25">
      <c r="A311" t="s">
        <v>925</v>
      </c>
      <c r="B311" s="8">
        <v>45761</v>
      </c>
      <c r="C311" t="s">
        <v>736</v>
      </c>
      <c r="D311" t="s">
        <v>10</v>
      </c>
      <c r="E311" t="s">
        <v>607</v>
      </c>
      <c r="F311" t="s">
        <v>926</v>
      </c>
      <c r="G311" s="2">
        <v>1</v>
      </c>
      <c r="H311" s="2">
        <v>112</v>
      </c>
      <c r="I311" t="s">
        <v>11</v>
      </c>
      <c r="J311" s="9"/>
      <c r="K311" t="str">
        <f t="shared" si="4"/>
        <v>SUBSCRIPTION</v>
      </c>
      <c r="N311" s="11">
        <v>45792</v>
      </c>
      <c r="O311">
        <v>2591</v>
      </c>
    </row>
    <row r="312" spans="1:15" hidden="1" x14ac:dyDescent="0.25">
      <c r="A312" t="s">
        <v>927</v>
      </c>
      <c r="B312" s="8">
        <v>45761</v>
      </c>
      <c r="C312" t="s">
        <v>736</v>
      </c>
      <c r="D312" t="s">
        <v>10</v>
      </c>
      <c r="E312" t="s">
        <v>623</v>
      </c>
      <c r="F312" t="s">
        <v>476</v>
      </c>
      <c r="G312" s="2">
        <v>1</v>
      </c>
      <c r="H312" s="2">
        <v>385</v>
      </c>
      <c r="I312" t="s">
        <v>11</v>
      </c>
      <c r="J312" s="9"/>
      <c r="K312" t="str">
        <f t="shared" si="4"/>
        <v>REGULAR</v>
      </c>
      <c r="N312" s="11">
        <v>45793</v>
      </c>
      <c r="O312">
        <v>1384</v>
      </c>
    </row>
    <row r="313" spans="1:15" hidden="1" x14ac:dyDescent="0.25">
      <c r="F313" t="s">
        <v>475</v>
      </c>
      <c r="G313" s="2">
        <v>1</v>
      </c>
      <c r="I313" t="s">
        <v>11</v>
      </c>
      <c r="J313" s="9"/>
      <c r="K313" t="str">
        <f t="shared" si="4"/>
        <v>REGULAR</v>
      </c>
      <c r="N313" s="11">
        <v>45794</v>
      </c>
      <c r="O313">
        <v>405</v>
      </c>
    </row>
    <row r="314" spans="1:15" hidden="1" x14ac:dyDescent="0.25">
      <c r="F314" t="s">
        <v>485</v>
      </c>
      <c r="G314" s="2">
        <v>1</v>
      </c>
      <c r="I314" t="s">
        <v>11</v>
      </c>
      <c r="J314" s="9"/>
      <c r="K314" t="str">
        <f t="shared" si="4"/>
        <v>REGULAR</v>
      </c>
      <c r="N314" s="11">
        <v>45795</v>
      </c>
      <c r="O314">
        <v>380</v>
      </c>
    </row>
    <row r="315" spans="1:15" hidden="1" x14ac:dyDescent="0.25">
      <c r="F315" t="s">
        <v>488</v>
      </c>
      <c r="G315" s="2">
        <v>1</v>
      </c>
      <c r="I315" t="s">
        <v>11</v>
      </c>
      <c r="J315" s="9"/>
      <c r="K315" t="str">
        <f t="shared" si="4"/>
        <v>REGULAR</v>
      </c>
      <c r="N315" s="11">
        <v>45803</v>
      </c>
      <c r="O315">
        <v>129</v>
      </c>
    </row>
    <row r="316" spans="1:15" x14ac:dyDescent="0.25">
      <c r="A316" t="s">
        <v>928</v>
      </c>
      <c r="B316" s="8">
        <v>45762</v>
      </c>
      <c r="C316" t="s">
        <v>606</v>
      </c>
      <c r="D316" t="s">
        <v>10</v>
      </c>
      <c r="E316" t="s">
        <v>607</v>
      </c>
      <c r="F316" t="s">
        <v>929</v>
      </c>
      <c r="G316" s="2">
        <v>1</v>
      </c>
      <c r="H316" s="2">
        <v>129</v>
      </c>
      <c r="I316" t="s">
        <v>34</v>
      </c>
      <c r="J316" s="9"/>
      <c r="K316" t="str">
        <f t="shared" si="4"/>
        <v>SUBSCRIPTION</v>
      </c>
      <c r="N316" s="5" t="s">
        <v>1339</v>
      </c>
    </row>
    <row r="317" spans="1:15" x14ac:dyDescent="0.25">
      <c r="A317" t="s">
        <v>930</v>
      </c>
      <c r="B317" s="8">
        <v>45762</v>
      </c>
      <c r="C317" t="s">
        <v>606</v>
      </c>
      <c r="D317" t="s">
        <v>21</v>
      </c>
      <c r="E317" t="s">
        <v>607</v>
      </c>
      <c r="F317" t="s">
        <v>933</v>
      </c>
      <c r="G317" s="2">
        <v>2</v>
      </c>
      <c r="H317" s="2">
        <f>2*99</f>
        <v>198</v>
      </c>
      <c r="I317" t="s">
        <v>11</v>
      </c>
      <c r="J317" s="9"/>
      <c r="K317" t="str">
        <f t="shared" si="4"/>
        <v>SUBSCRIPTION</v>
      </c>
      <c r="N317" s="5" t="s">
        <v>368</v>
      </c>
      <c r="O317">
        <v>117986</v>
      </c>
    </row>
    <row r="318" spans="1:15" x14ac:dyDescent="0.25">
      <c r="A318" t="s">
        <v>931</v>
      </c>
      <c r="B318" s="8">
        <v>45762</v>
      </c>
      <c r="C318" t="s">
        <v>606</v>
      </c>
      <c r="D318" t="s">
        <v>18</v>
      </c>
      <c r="E318" t="s">
        <v>607</v>
      </c>
      <c r="F318" t="s">
        <v>610</v>
      </c>
      <c r="G318" s="2">
        <v>1</v>
      </c>
      <c r="H318" s="2">
        <v>117</v>
      </c>
      <c r="I318" t="s">
        <v>34</v>
      </c>
      <c r="J318" s="9"/>
      <c r="K318" t="str">
        <f t="shared" si="4"/>
        <v>SUBSCRIPTION</v>
      </c>
    </row>
    <row r="319" spans="1:15" x14ac:dyDescent="0.25">
      <c r="A319" t="s">
        <v>935</v>
      </c>
      <c r="B319" s="8">
        <v>45762</v>
      </c>
      <c r="C319" t="s">
        <v>606</v>
      </c>
      <c r="D319" t="s">
        <v>10</v>
      </c>
      <c r="E319" t="s">
        <v>607</v>
      </c>
      <c r="F319" t="s">
        <v>934</v>
      </c>
      <c r="G319" s="2">
        <v>1</v>
      </c>
      <c r="H319" s="2">
        <v>112</v>
      </c>
      <c r="I319" t="s">
        <v>11</v>
      </c>
      <c r="J319" s="9"/>
      <c r="K319" t="str">
        <f t="shared" si="4"/>
        <v>SUBSCRIPTION</v>
      </c>
    </row>
    <row r="320" spans="1:15" x14ac:dyDescent="0.25">
      <c r="A320" t="s">
        <v>936</v>
      </c>
      <c r="B320" s="8">
        <v>45762</v>
      </c>
      <c r="C320" t="s">
        <v>606</v>
      </c>
      <c r="D320" t="s">
        <v>10</v>
      </c>
      <c r="E320" t="s">
        <v>607</v>
      </c>
      <c r="F320" t="s">
        <v>937</v>
      </c>
      <c r="G320" s="2">
        <v>1</v>
      </c>
      <c r="H320" s="2">
        <v>129</v>
      </c>
      <c r="I320" t="s">
        <v>34</v>
      </c>
      <c r="J320" s="9"/>
      <c r="K320" t="str">
        <f t="shared" si="4"/>
        <v>SUBSCRIPTION</v>
      </c>
    </row>
    <row r="321" spans="1:18" x14ac:dyDescent="0.25">
      <c r="A321" t="s">
        <v>932</v>
      </c>
      <c r="B321" s="8">
        <v>45762</v>
      </c>
      <c r="C321" t="s">
        <v>606</v>
      </c>
      <c r="D321" t="s">
        <v>18</v>
      </c>
      <c r="E321" t="s">
        <v>607</v>
      </c>
      <c r="F321" t="s">
        <v>614</v>
      </c>
      <c r="G321" s="2">
        <v>1</v>
      </c>
      <c r="H321" s="2">
        <v>99</v>
      </c>
      <c r="I321" t="s">
        <v>11</v>
      </c>
      <c r="J321" s="9"/>
      <c r="K321" t="str">
        <f t="shared" si="4"/>
        <v>SUBSCRIPTION</v>
      </c>
      <c r="N321" s="28" t="s">
        <v>1367</v>
      </c>
      <c r="O321" s="28"/>
    </row>
    <row r="322" spans="1:18" x14ac:dyDescent="0.25">
      <c r="A322" t="s">
        <v>938</v>
      </c>
      <c r="B322" s="8">
        <v>45762</v>
      </c>
      <c r="C322" t="s">
        <v>606</v>
      </c>
      <c r="D322" t="s">
        <v>10</v>
      </c>
      <c r="E322" t="s">
        <v>607</v>
      </c>
      <c r="F322" t="s">
        <v>937</v>
      </c>
      <c r="G322" s="2">
        <v>1</v>
      </c>
      <c r="H322" s="2">
        <v>129</v>
      </c>
      <c r="I322" t="s">
        <v>34</v>
      </c>
      <c r="J322" s="9"/>
      <c r="K322" t="str">
        <f t="shared" ref="K322:K385" si="5">IF(E322&lt;&gt;"", E322, K321)</f>
        <v>SUBSCRIPTION</v>
      </c>
    </row>
    <row r="323" spans="1:18" x14ac:dyDescent="0.25">
      <c r="A323" t="s">
        <v>939</v>
      </c>
      <c r="B323" s="8">
        <v>45762</v>
      </c>
      <c r="C323" t="s">
        <v>606</v>
      </c>
      <c r="D323" t="s">
        <v>21</v>
      </c>
      <c r="E323" t="s">
        <v>607</v>
      </c>
      <c r="F323" t="s">
        <v>940</v>
      </c>
      <c r="G323" s="2">
        <v>1</v>
      </c>
      <c r="H323" s="2">
        <v>99</v>
      </c>
      <c r="I323" t="s">
        <v>11</v>
      </c>
      <c r="J323" s="9"/>
      <c r="K323" t="str">
        <f t="shared" si="5"/>
        <v>SUBSCRIPTION</v>
      </c>
    </row>
    <row r="324" spans="1:18" x14ac:dyDescent="0.25">
      <c r="A324" t="s">
        <v>941</v>
      </c>
      <c r="B324" s="8">
        <v>45762</v>
      </c>
      <c r="C324" t="s">
        <v>606</v>
      </c>
      <c r="D324" t="s">
        <v>10</v>
      </c>
      <c r="E324" t="s">
        <v>607</v>
      </c>
      <c r="F324" t="s">
        <v>1266</v>
      </c>
      <c r="G324" s="2">
        <v>2</v>
      </c>
      <c r="H324" s="2">
        <v>99</v>
      </c>
      <c r="I324" t="s">
        <v>11</v>
      </c>
      <c r="J324" s="9"/>
      <c r="K324" t="str">
        <f t="shared" si="5"/>
        <v>SUBSCRIPTION</v>
      </c>
      <c r="N324" s="4" t="s">
        <v>750</v>
      </c>
      <c r="O324" s="4" t="s">
        <v>383</v>
      </c>
    </row>
    <row r="325" spans="1:18" x14ac:dyDescent="0.25">
      <c r="A325" t="s">
        <v>943</v>
      </c>
      <c r="B325" s="8">
        <v>45762</v>
      </c>
      <c r="C325" t="s">
        <v>606</v>
      </c>
      <c r="D325" t="s">
        <v>10</v>
      </c>
      <c r="E325" t="s">
        <v>607</v>
      </c>
      <c r="F325" t="s">
        <v>942</v>
      </c>
      <c r="G325" s="2">
        <v>1</v>
      </c>
      <c r="H325" s="2">
        <v>99</v>
      </c>
      <c r="I325" t="s">
        <v>11</v>
      </c>
      <c r="J325" s="9"/>
      <c r="K325" t="str">
        <f t="shared" si="5"/>
        <v>SUBSCRIPTION</v>
      </c>
      <c r="N325" s="4" t="s">
        <v>363</v>
      </c>
      <c r="O325" t="s">
        <v>21</v>
      </c>
      <c r="P325" t="s">
        <v>18</v>
      </c>
      <c r="Q325" t="s">
        <v>10</v>
      </c>
      <c r="R325" t="s">
        <v>368</v>
      </c>
    </row>
    <row r="326" spans="1:18" hidden="1" x14ac:dyDescent="0.25">
      <c r="A326" t="s">
        <v>944</v>
      </c>
      <c r="B326" s="8">
        <v>45762</v>
      </c>
      <c r="C326" t="s">
        <v>606</v>
      </c>
      <c r="D326" t="s">
        <v>10</v>
      </c>
      <c r="E326" t="s">
        <v>623</v>
      </c>
      <c r="F326" t="s">
        <v>492</v>
      </c>
      <c r="G326" s="2">
        <v>1</v>
      </c>
      <c r="I326" t="s">
        <v>11</v>
      </c>
      <c r="J326" s="9"/>
      <c r="K326" t="str">
        <f t="shared" si="5"/>
        <v>REGULAR</v>
      </c>
      <c r="N326" s="11">
        <v>45748</v>
      </c>
      <c r="O326">
        <v>297</v>
      </c>
      <c r="P326">
        <v>345</v>
      </c>
      <c r="Q326">
        <v>914</v>
      </c>
      <c r="R326">
        <v>1556</v>
      </c>
    </row>
    <row r="327" spans="1:18" hidden="1" x14ac:dyDescent="0.25">
      <c r="F327" t="s">
        <v>428</v>
      </c>
      <c r="G327" s="2">
        <v>1</v>
      </c>
      <c r="I327" t="s">
        <v>11</v>
      </c>
      <c r="J327" s="9"/>
      <c r="K327" t="str">
        <f t="shared" si="5"/>
        <v>REGULAR</v>
      </c>
      <c r="N327" s="11">
        <v>45749</v>
      </c>
      <c r="O327">
        <v>404</v>
      </c>
      <c r="P327">
        <v>310</v>
      </c>
      <c r="Q327">
        <v>946</v>
      </c>
      <c r="R327">
        <v>1660</v>
      </c>
    </row>
    <row r="328" spans="1:18" hidden="1" x14ac:dyDescent="0.25">
      <c r="A328" t="s">
        <v>946</v>
      </c>
      <c r="B328" s="8">
        <v>45762</v>
      </c>
      <c r="C328" t="s">
        <v>606</v>
      </c>
      <c r="D328" t="s">
        <v>10</v>
      </c>
      <c r="E328" t="s">
        <v>623</v>
      </c>
      <c r="F328" t="s">
        <v>386</v>
      </c>
      <c r="G328" s="2">
        <v>1</v>
      </c>
      <c r="H328" s="2">
        <v>440</v>
      </c>
      <c r="I328" t="s">
        <v>34</v>
      </c>
      <c r="J328" s="9"/>
      <c r="K328" t="str">
        <f t="shared" si="5"/>
        <v>REGULAR</v>
      </c>
      <c r="N328" s="11">
        <v>45750</v>
      </c>
      <c r="O328">
        <v>354</v>
      </c>
      <c r="P328">
        <v>415</v>
      </c>
      <c r="Q328">
        <v>2275</v>
      </c>
      <c r="R328">
        <v>3044</v>
      </c>
    </row>
    <row r="329" spans="1:18" hidden="1" x14ac:dyDescent="0.25">
      <c r="F329" t="s">
        <v>945</v>
      </c>
      <c r="G329" s="2">
        <v>1</v>
      </c>
      <c r="I329" t="s">
        <v>34</v>
      </c>
      <c r="J329" s="9"/>
      <c r="K329" t="str">
        <f t="shared" si="5"/>
        <v>REGULAR</v>
      </c>
      <c r="N329" s="11">
        <v>45751</v>
      </c>
      <c r="O329">
        <v>396</v>
      </c>
      <c r="P329">
        <v>327</v>
      </c>
      <c r="Q329">
        <v>3168</v>
      </c>
      <c r="R329">
        <v>3891</v>
      </c>
    </row>
    <row r="330" spans="1:18" hidden="1" x14ac:dyDescent="0.25">
      <c r="F330" t="s">
        <v>428</v>
      </c>
      <c r="G330" s="2">
        <v>1</v>
      </c>
      <c r="I330" t="s">
        <v>11</v>
      </c>
      <c r="J330" s="9"/>
      <c r="K330" t="str">
        <f t="shared" si="5"/>
        <v>REGULAR</v>
      </c>
      <c r="N330" s="11">
        <v>45752</v>
      </c>
      <c r="O330">
        <v>237</v>
      </c>
      <c r="P330">
        <v>149</v>
      </c>
      <c r="Q330">
        <v>3431</v>
      </c>
      <c r="R330">
        <v>3817</v>
      </c>
    </row>
    <row r="331" spans="1:18" hidden="1" x14ac:dyDescent="0.25">
      <c r="A331" t="s">
        <v>947</v>
      </c>
      <c r="B331" s="8">
        <v>45762</v>
      </c>
      <c r="C331" t="s">
        <v>606</v>
      </c>
      <c r="D331" t="s">
        <v>10</v>
      </c>
      <c r="E331" t="s">
        <v>623</v>
      </c>
      <c r="F331" t="s">
        <v>667</v>
      </c>
      <c r="G331" s="2">
        <v>2</v>
      </c>
      <c r="H331" s="2">
        <v>160</v>
      </c>
      <c r="I331" t="s">
        <v>11</v>
      </c>
      <c r="J331" s="9"/>
      <c r="K331" t="str">
        <f t="shared" si="5"/>
        <v>REGULAR</v>
      </c>
      <c r="N331" s="11">
        <v>45753</v>
      </c>
      <c r="O331">
        <v>315</v>
      </c>
      <c r="P331">
        <v>258</v>
      </c>
      <c r="Q331">
        <v>5163</v>
      </c>
      <c r="R331">
        <v>5736</v>
      </c>
    </row>
    <row r="332" spans="1:18" x14ac:dyDescent="0.25">
      <c r="A332" t="s">
        <v>948</v>
      </c>
      <c r="B332" s="8">
        <v>45763</v>
      </c>
      <c r="C332" t="s">
        <v>632</v>
      </c>
      <c r="D332" t="s">
        <v>18</v>
      </c>
      <c r="E332" t="s">
        <v>607</v>
      </c>
      <c r="F332" t="s">
        <v>949</v>
      </c>
      <c r="G332" s="2">
        <v>1</v>
      </c>
      <c r="H332" s="2">
        <v>112</v>
      </c>
      <c r="I332" t="s">
        <v>34</v>
      </c>
      <c r="J332" s="9"/>
      <c r="K332" t="str">
        <f t="shared" si="5"/>
        <v>SUBSCRIPTION</v>
      </c>
      <c r="N332" s="11">
        <v>45754</v>
      </c>
      <c r="P332">
        <v>79</v>
      </c>
      <c r="Q332">
        <v>3693</v>
      </c>
      <c r="R332">
        <v>3772</v>
      </c>
    </row>
    <row r="333" spans="1:18" x14ac:dyDescent="0.25">
      <c r="A333" t="s">
        <v>950</v>
      </c>
      <c r="B333" s="8">
        <v>45763</v>
      </c>
      <c r="C333" t="s">
        <v>632</v>
      </c>
      <c r="D333" t="s">
        <v>21</v>
      </c>
      <c r="E333" t="s">
        <v>607</v>
      </c>
      <c r="F333" t="s">
        <v>1282</v>
      </c>
      <c r="G333" s="2">
        <v>2</v>
      </c>
      <c r="H333" s="2">
        <f>2*79</f>
        <v>158</v>
      </c>
      <c r="I333" t="s">
        <v>11</v>
      </c>
      <c r="J333" s="9"/>
      <c r="K333" t="str">
        <f t="shared" si="5"/>
        <v>SUBSCRIPTION</v>
      </c>
      <c r="N333" s="11">
        <v>45755</v>
      </c>
      <c r="O333">
        <v>99</v>
      </c>
      <c r="P333">
        <v>315</v>
      </c>
      <c r="Q333">
        <v>4614</v>
      </c>
      <c r="R333">
        <v>5028</v>
      </c>
    </row>
    <row r="334" spans="1:18" x14ac:dyDescent="0.25">
      <c r="A334" t="s">
        <v>951</v>
      </c>
      <c r="B334" s="8">
        <v>45763</v>
      </c>
      <c r="C334" t="s">
        <v>632</v>
      </c>
      <c r="D334" t="s">
        <v>18</v>
      </c>
      <c r="E334" t="s">
        <v>607</v>
      </c>
      <c r="F334" t="s">
        <v>952</v>
      </c>
      <c r="G334" s="2">
        <v>1</v>
      </c>
      <c r="H334" s="2">
        <v>99</v>
      </c>
      <c r="I334" t="s">
        <v>34</v>
      </c>
      <c r="J334" s="9"/>
      <c r="K334" t="str">
        <f t="shared" si="5"/>
        <v>SUBSCRIPTION</v>
      </c>
      <c r="N334" s="11">
        <v>45756</v>
      </c>
      <c r="O334">
        <v>287</v>
      </c>
      <c r="P334">
        <v>310</v>
      </c>
      <c r="Q334">
        <v>3339</v>
      </c>
      <c r="R334">
        <v>3936</v>
      </c>
    </row>
    <row r="335" spans="1:18" x14ac:dyDescent="0.25">
      <c r="A335" t="s">
        <v>953</v>
      </c>
      <c r="B335" s="8">
        <v>45763</v>
      </c>
      <c r="C335" t="s">
        <v>632</v>
      </c>
      <c r="D335" t="s">
        <v>21</v>
      </c>
      <c r="E335" t="s">
        <v>607</v>
      </c>
      <c r="F335" t="s">
        <v>642</v>
      </c>
      <c r="G335" s="2">
        <v>1</v>
      </c>
      <c r="H335" s="2">
        <v>149</v>
      </c>
      <c r="I335" t="s">
        <v>34</v>
      </c>
      <c r="J335" s="9"/>
      <c r="K335" t="str">
        <f t="shared" si="5"/>
        <v>SUBSCRIPTION</v>
      </c>
      <c r="N335" s="11">
        <v>45757</v>
      </c>
      <c r="O335">
        <v>275</v>
      </c>
      <c r="P335">
        <v>117</v>
      </c>
      <c r="Q335">
        <v>2787</v>
      </c>
      <c r="R335">
        <v>3179</v>
      </c>
    </row>
    <row r="336" spans="1:18" x14ac:dyDescent="0.25">
      <c r="A336" t="s">
        <v>954</v>
      </c>
      <c r="B336" s="8">
        <v>45763</v>
      </c>
      <c r="C336" t="s">
        <v>632</v>
      </c>
      <c r="D336" t="s">
        <v>10</v>
      </c>
      <c r="E336" t="s">
        <v>607</v>
      </c>
      <c r="F336" t="s">
        <v>955</v>
      </c>
      <c r="G336" s="2">
        <v>1</v>
      </c>
      <c r="H336" s="2">
        <v>112</v>
      </c>
      <c r="I336" t="s">
        <v>11</v>
      </c>
      <c r="J336" s="9"/>
      <c r="K336" t="str">
        <f t="shared" si="5"/>
        <v>SUBSCRIPTION</v>
      </c>
      <c r="N336" s="11">
        <v>45758</v>
      </c>
      <c r="O336">
        <v>297</v>
      </c>
      <c r="P336">
        <v>327</v>
      </c>
      <c r="Q336">
        <v>486</v>
      </c>
      <c r="R336">
        <v>1110</v>
      </c>
    </row>
    <row r="337" spans="1:18" x14ac:dyDescent="0.25">
      <c r="A337" t="s">
        <v>958</v>
      </c>
      <c r="B337" s="8">
        <v>45763</v>
      </c>
      <c r="C337" t="s">
        <v>632</v>
      </c>
      <c r="D337" t="s">
        <v>10</v>
      </c>
      <c r="E337" t="s">
        <v>607</v>
      </c>
      <c r="F337" t="s">
        <v>957</v>
      </c>
      <c r="G337" s="2">
        <v>1</v>
      </c>
      <c r="H337" s="2">
        <v>179</v>
      </c>
      <c r="I337" t="s">
        <v>34</v>
      </c>
      <c r="J337" s="9"/>
      <c r="K337" t="str">
        <f t="shared" si="5"/>
        <v>SUBSCRIPTION</v>
      </c>
      <c r="N337" s="11">
        <v>45759</v>
      </c>
      <c r="O337">
        <v>237</v>
      </c>
      <c r="P337">
        <v>228</v>
      </c>
      <c r="Q337">
        <v>1678</v>
      </c>
      <c r="R337">
        <v>2143</v>
      </c>
    </row>
    <row r="338" spans="1:18" x14ac:dyDescent="0.25">
      <c r="A338" t="s">
        <v>959</v>
      </c>
      <c r="B338" s="8">
        <v>45763</v>
      </c>
      <c r="C338" t="s">
        <v>632</v>
      </c>
      <c r="D338" t="s">
        <v>10</v>
      </c>
      <c r="E338" t="s">
        <v>607</v>
      </c>
      <c r="F338" t="s">
        <v>1288</v>
      </c>
      <c r="G338" s="2">
        <v>2</v>
      </c>
      <c r="H338" s="2">
        <f>2*99</f>
        <v>198</v>
      </c>
      <c r="I338" t="s">
        <v>11</v>
      </c>
      <c r="J338" s="9"/>
      <c r="K338" t="str">
        <f t="shared" si="5"/>
        <v>SUBSCRIPTION</v>
      </c>
      <c r="N338" s="11">
        <v>45760</v>
      </c>
      <c r="O338">
        <v>315</v>
      </c>
      <c r="P338">
        <v>258</v>
      </c>
      <c r="Q338">
        <v>2823</v>
      </c>
      <c r="R338">
        <v>3396</v>
      </c>
    </row>
    <row r="339" spans="1:18" x14ac:dyDescent="0.25">
      <c r="A339" t="s">
        <v>960</v>
      </c>
      <c r="B339" s="8">
        <v>45763</v>
      </c>
      <c r="C339" t="s">
        <v>632</v>
      </c>
      <c r="D339" t="s">
        <v>10</v>
      </c>
      <c r="E339" t="s">
        <v>607</v>
      </c>
      <c r="F339" t="s">
        <v>957</v>
      </c>
      <c r="G339" s="2">
        <v>1</v>
      </c>
      <c r="H339" s="2">
        <v>179</v>
      </c>
      <c r="I339" t="s">
        <v>34</v>
      </c>
      <c r="J339" s="9"/>
      <c r="K339" t="str">
        <f t="shared" si="5"/>
        <v>SUBSCRIPTION</v>
      </c>
      <c r="N339" s="11">
        <v>45761</v>
      </c>
      <c r="O339">
        <v>257</v>
      </c>
      <c r="P339">
        <v>196</v>
      </c>
      <c r="Q339">
        <v>731</v>
      </c>
      <c r="R339">
        <v>1184</v>
      </c>
    </row>
    <row r="340" spans="1:18" hidden="1" x14ac:dyDescent="0.25">
      <c r="A340" t="s">
        <v>961</v>
      </c>
      <c r="B340" s="8">
        <v>45763</v>
      </c>
      <c r="C340" t="s">
        <v>632</v>
      </c>
      <c r="D340" t="s">
        <v>10</v>
      </c>
      <c r="E340" t="s">
        <v>623</v>
      </c>
      <c r="F340" t="s">
        <v>962</v>
      </c>
      <c r="G340" s="2">
        <v>1</v>
      </c>
      <c r="I340" t="s">
        <v>11</v>
      </c>
      <c r="J340" s="9"/>
      <c r="K340" t="str">
        <f t="shared" si="5"/>
        <v>REGULAR</v>
      </c>
      <c r="N340" s="11">
        <v>45762</v>
      </c>
      <c r="O340">
        <v>297</v>
      </c>
      <c r="P340">
        <v>216</v>
      </c>
      <c r="Q340">
        <v>1297</v>
      </c>
      <c r="R340">
        <v>1810</v>
      </c>
    </row>
    <row r="341" spans="1:18" hidden="1" x14ac:dyDescent="0.25">
      <c r="A341" t="s">
        <v>963</v>
      </c>
      <c r="B341" s="8">
        <v>45763</v>
      </c>
      <c r="C341" t="s">
        <v>632</v>
      </c>
      <c r="D341" t="s">
        <v>10</v>
      </c>
      <c r="E341" t="s">
        <v>623</v>
      </c>
      <c r="F341" t="s">
        <v>395</v>
      </c>
      <c r="G341" s="2">
        <v>1</v>
      </c>
      <c r="H341" s="2">
        <v>330</v>
      </c>
      <c r="I341" t="s">
        <v>34</v>
      </c>
      <c r="J341" s="9"/>
      <c r="K341" t="str">
        <f t="shared" si="5"/>
        <v>REGULAR</v>
      </c>
      <c r="N341" s="11">
        <v>45763</v>
      </c>
      <c r="O341">
        <v>307</v>
      </c>
      <c r="P341">
        <v>211</v>
      </c>
      <c r="Q341">
        <v>2268</v>
      </c>
      <c r="R341">
        <v>2786</v>
      </c>
    </row>
    <row r="342" spans="1:18" hidden="1" x14ac:dyDescent="0.25">
      <c r="F342" t="s">
        <v>469</v>
      </c>
      <c r="G342" s="2">
        <v>1</v>
      </c>
      <c r="I342" t="s">
        <v>34</v>
      </c>
      <c r="J342" s="9"/>
      <c r="K342" t="str">
        <f t="shared" si="5"/>
        <v>REGULAR</v>
      </c>
      <c r="N342" s="11">
        <v>45764</v>
      </c>
      <c r="O342">
        <v>275</v>
      </c>
      <c r="P342">
        <v>266</v>
      </c>
      <c r="Q342">
        <v>1714</v>
      </c>
      <c r="R342">
        <v>2255</v>
      </c>
    </row>
    <row r="343" spans="1:18" hidden="1" x14ac:dyDescent="0.25">
      <c r="A343" t="s">
        <v>964</v>
      </c>
      <c r="B343" s="8">
        <v>45763</v>
      </c>
      <c r="C343" t="s">
        <v>632</v>
      </c>
      <c r="D343" t="s">
        <v>10</v>
      </c>
      <c r="E343" t="s">
        <v>623</v>
      </c>
      <c r="F343" t="s">
        <v>402</v>
      </c>
      <c r="G343" s="2">
        <v>1</v>
      </c>
      <c r="H343" s="2">
        <v>170</v>
      </c>
      <c r="I343" t="s">
        <v>34</v>
      </c>
      <c r="J343" s="9"/>
      <c r="K343" t="str">
        <f t="shared" si="5"/>
        <v>REGULAR</v>
      </c>
      <c r="N343" s="11">
        <v>45765</v>
      </c>
      <c r="O343">
        <v>99</v>
      </c>
      <c r="P343">
        <v>99</v>
      </c>
      <c r="Q343">
        <v>3082</v>
      </c>
      <c r="R343">
        <v>3280</v>
      </c>
    </row>
    <row r="344" spans="1:18" hidden="1" x14ac:dyDescent="0.25">
      <c r="A344" t="s">
        <v>965</v>
      </c>
      <c r="B344" s="8">
        <v>45763</v>
      </c>
      <c r="C344" t="s">
        <v>632</v>
      </c>
      <c r="D344" t="s">
        <v>10</v>
      </c>
      <c r="E344" t="s">
        <v>623</v>
      </c>
      <c r="F344" t="s">
        <v>469</v>
      </c>
      <c r="G344" s="2">
        <v>1</v>
      </c>
      <c r="H344" s="2">
        <v>170</v>
      </c>
      <c r="I344" t="s">
        <v>34</v>
      </c>
      <c r="J344" s="9"/>
      <c r="K344" t="str">
        <f t="shared" si="5"/>
        <v>REGULAR</v>
      </c>
      <c r="N344" s="11">
        <v>45766</v>
      </c>
      <c r="O344">
        <v>316</v>
      </c>
      <c r="P344">
        <v>158</v>
      </c>
      <c r="Q344">
        <v>3121</v>
      </c>
      <c r="R344">
        <v>3595</v>
      </c>
    </row>
    <row r="345" spans="1:18" hidden="1" x14ac:dyDescent="0.25">
      <c r="A345" t="s">
        <v>966</v>
      </c>
      <c r="B345" s="8">
        <v>45763</v>
      </c>
      <c r="C345" t="s">
        <v>632</v>
      </c>
      <c r="D345" t="s">
        <v>10</v>
      </c>
      <c r="E345" t="s">
        <v>623</v>
      </c>
      <c r="F345" t="s">
        <v>646</v>
      </c>
      <c r="G345" s="2">
        <v>1</v>
      </c>
      <c r="H345" s="2">
        <v>200</v>
      </c>
      <c r="I345" t="s">
        <v>11</v>
      </c>
      <c r="J345" s="9"/>
      <c r="K345" t="str">
        <f t="shared" si="5"/>
        <v>REGULAR</v>
      </c>
      <c r="N345" s="11">
        <v>45767</v>
      </c>
      <c r="O345">
        <v>117</v>
      </c>
      <c r="P345">
        <v>129</v>
      </c>
      <c r="Q345">
        <v>3568</v>
      </c>
      <c r="R345">
        <v>3814</v>
      </c>
    </row>
    <row r="346" spans="1:18" hidden="1" x14ac:dyDescent="0.25">
      <c r="F346" t="s">
        <v>404</v>
      </c>
      <c r="G346" s="2">
        <v>1</v>
      </c>
      <c r="I346" t="s">
        <v>34</v>
      </c>
      <c r="J346" s="9"/>
      <c r="K346" t="str">
        <f t="shared" si="5"/>
        <v>REGULAR</v>
      </c>
      <c r="N346" s="11">
        <v>45768</v>
      </c>
      <c r="O346">
        <v>99</v>
      </c>
      <c r="P346">
        <v>158</v>
      </c>
      <c r="Q346">
        <v>246</v>
      </c>
      <c r="R346">
        <v>503</v>
      </c>
    </row>
    <row r="347" spans="1:18" hidden="1" x14ac:dyDescent="0.25">
      <c r="A347" t="s">
        <v>967</v>
      </c>
      <c r="B347" s="8">
        <v>45763</v>
      </c>
      <c r="C347" t="s">
        <v>632</v>
      </c>
      <c r="D347" t="s">
        <v>10</v>
      </c>
      <c r="E347" t="s">
        <v>623</v>
      </c>
      <c r="F347" t="s">
        <v>437</v>
      </c>
      <c r="G347" s="2">
        <v>1</v>
      </c>
      <c r="H347" s="2">
        <v>330</v>
      </c>
      <c r="I347" t="s">
        <v>34</v>
      </c>
      <c r="J347" s="9"/>
      <c r="K347" t="str">
        <f t="shared" si="5"/>
        <v>REGULAR</v>
      </c>
      <c r="N347" s="11">
        <v>45769</v>
      </c>
      <c r="O347">
        <v>198</v>
      </c>
      <c r="P347">
        <v>198</v>
      </c>
      <c r="Q347">
        <v>1133</v>
      </c>
      <c r="R347">
        <v>1529</v>
      </c>
    </row>
    <row r="348" spans="1:18" hidden="1" x14ac:dyDescent="0.25">
      <c r="A348" t="s">
        <v>968</v>
      </c>
      <c r="B348" s="8">
        <v>45763</v>
      </c>
      <c r="C348" t="s">
        <v>632</v>
      </c>
      <c r="D348" t="s">
        <v>10</v>
      </c>
      <c r="E348" t="s">
        <v>623</v>
      </c>
      <c r="F348" t="s">
        <v>402</v>
      </c>
      <c r="G348" s="2">
        <v>1</v>
      </c>
      <c r="H348" s="2">
        <v>400</v>
      </c>
      <c r="I348" t="s">
        <v>34</v>
      </c>
      <c r="J348" s="9"/>
      <c r="K348" t="str">
        <f t="shared" si="5"/>
        <v>REGULAR</v>
      </c>
      <c r="N348" s="11">
        <v>45770</v>
      </c>
      <c r="O348">
        <v>129</v>
      </c>
      <c r="P348">
        <v>321</v>
      </c>
      <c r="Q348">
        <v>1806</v>
      </c>
      <c r="R348">
        <v>2256</v>
      </c>
    </row>
    <row r="349" spans="1:18" hidden="1" x14ac:dyDescent="0.25">
      <c r="F349" t="s">
        <v>452</v>
      </c>
      <c r="G349" s="2">
        <v>1</v>
      </c>
      <c r="I349" t="s">
        <v>11</v>
      </c>
      <c r="J349" s="9"/>
      <c r="K349" t="str">
        <f t="shared" si="5"/>
        <v>REGULAR</v>
      </c>
      <c r="N349" s="11">
        <v>45771</v>
      </c>
      <c r="O349">
        <v>117</v>
      </c>
      <c r="P349">
        <v>298</v>
      </c>
      <c r="Q349">
        <v>2027</v>
      </c>
      <c r="R349">
        <v>2442</v>
      </c>
    </row>
    <row r="350" spans="1:18" hidden="1" x14ac:dyDescent="0.25">
      <c r="F350" t="s">
        <v>969</v>
      </c>
      <c r="G350" s="2">
        <v>1</v>
      </c>
      <c r="I350" t="s">
        <v>34</v>
      </c>
      <c r="J350" s="9"/>
      <c r="K350" t="str">
        <f t="shared" si="5"/>
        <v>REGULAR</v>
      </c>
      <c r="N350" s="11">
        <v>45772</v>
      </c>
      <c r="O350">
        <v>99</v>
      </c>
      <c r="P350">
        <v>327</v>
      </c>
      <c r="Q350">
        <v>448</v>
      </c>
      <c r="R350">
        <v>874</v>
      </c>
    </row>
    <row r="351" spans="1:18" x14ac:dyDescent="0.25">
      <c r="A351" t="s">
        <v>970</v>
      </c>
      <c r="B351" s="8">
        <v>45764</v>
      </c>
      <c r="C351" t="s">
        <v>648</v>
      </c>
      <c r="D351" t="s">
        <v>10</v>
      </c>
      <c r="E351" t="s">
        <v>607</v>
      </c>
      <c r="F351" t="s">
        <v>820</v>
      </c>
      <c r="G351" s="2">
        <v>1</v>
      </c>
      <c r="H351" s="2">
        <v>99</v>
      </c>
      <c r="I351" t="s">
        <v>34</v>
      </c>
      <c r="J351" s="9"/>
      <c r="K351" t="str">
        <f t="shared" si="5"/>
        <v>SUBSCRIPTION</v>
      </c>
      <c r="N351" s="11">
        <v>45773</v>
      </c>
      <c r="O351">
        <v>79</v>
      </c>
      <c r="P351">
        <v>228</v>
      </c>
      <c r="Q351">
        <v>2736</v>
      </c>
      <c r="R351">
        <v>3043</v>
      </c>
    </row>
    <row r="352" spans="1:18" x14ac:dyDescent="0.25">
      <c r="A352" t="s">
        <v>971</v>
      </c>
      <c r="B352" s="8">
        <v>45764</v>
      </c>
      <c r="C352" t="s">
        <v>648</v>
      </c>
      <c r="D352" t="s">
        <v>21</v>
      </c>
      <c r="E352" t="s">
        <v>607</v>
      </c>
      <c r="F352" t="s">
        <v>1337</v>
      </c>
      <c r="G352" s="2">
        <v>1</v>
      </c>
      <c r="H352" s="2">
        <v>117</v>
      </c>
      <c r="I352" t="s">
        <v>34</v>
      </c>
      <c r="J352" s="9"/>
      <c r="K352" t="str">
        <f t="shared" si="5"/>
        <v>SUBSCRIPTION</v>
      </c>
      <c r="N352" s="11">
        <v>45774</v>
      </c>
      <c r="P352">
        <v>258</v>
      </c>
      <c r="Q352">
        <v>2666</v>
      </c>
      <c r="R352">
        <v>2924</v>
      </c>
    </row>
    <row r="353" spans="1:18" x14ac:dyDescent="0.25">
      <c r="A353" t="s">
        <v>972</v>
      </c>
      <c r="B353" s="8">
        <v>45764</v>
      </c>
      <c r="C353" t="s">
        <v>648</v>
      </c>
      <c r="D353" t="s">
        <v>18</v>
      </c>
      <c r="E353" t="s">
        <v>607</v>
      </c>
      <c r="F353" t="s">
        <v>658</v>
      </c>
      <c r="G353" s="2">
        <v>1</v>
      </c>
      <c r="H353" s="2">
        <v>149</v>
      </c>
      <c r="I353" t="s">
        <v>34</v>
      </c>
      <c r="J353" s="9"/>
      <c r="K353" t="str">
        <f t="shared" si="5"/>
        <v>SUBSCRIPTION</v>
      </c>
      <c r="N353" s="11">
        <v>45775</v>
      </c>
      <c r="O353">
        <v>99</v>
      </c>
      <c r="P353">
        <v>196</v>
      </c>
      <c r="Q353">
        <v>2395</v>
      </c>
      <c r="R353">
        <v>2690</v>
      </c>
    </row>
    <row r="354" spans="1:18" x14ac:dyDescent="0.25">
      <c r="A354" t="s">
        <v>973</v>
      </c>
      <c r="B354" s="8">
        <v>45764</v>
      </c>
      <c r="C354" t="s">
        <v>648</v>
      </c>
      <c r="D354" t="s">
        <v>18</v>
      </c>
      <c r="E354" t="s">
        <v>607</v>
      </c>
      <c r="F354" t="s">
        <v>651</v>
      </c>
      <c r="G354" s="2">
        <v>1</v>
      </c>
      <c r="H354" s="2">
        <v>117</v>
      </c>
      <c r="I354" t="s">
        <v>11</v>
      </c>
      <c r="J354" s="9"/>
      <c r="K354" t="str">
        <f t="shared" si="5"/>
        <v>SUBSCRIPTION</v>
      </c>
      <c r="N354" s="11">
        <v>45776</v>
      </c>
      <c r="O354">
        <v>99</v>
      </c>
      <c r="P354">
        <v>315</v>
      </c>
      <c r="Q354">
        <v>1976</v>
      </c>
      <c r="R354">
        <v>2390</v>
      </c>
    </row>
    <row r="355" spans="1:18" x14ac:dyDescent="0.25">
      <c r="A355" t="s">
        <v>974</v>
      </c>
      <c r="B355" s="8">
        <v>45764</v>
      </c>
      <c r="C355" t="s">
        <v>648</v>
      </c>
      <c r="D355" t="s">
        <v>21</v>
      </c>
      <c r="E355" t="s">
        <v>607</v>
      </c>
      <c r="F355" t="s">
        <v>656</v>
      </c>
      <c r="G355" s="2">
        <v>2</v>
      </c>
      <c r="H355" s="2">
        <f>2*79</f>
        <v>158</v>
      </c>
      <c r="I355" t="s">
        <v>11</v>
      </c>
      <c r="J355" s="9"/>
      <c r="K355" t="str">
        <f t="shared" si="5"/>
        <v>SUBSCRIPTION</v>
      </c>
      <c r="N355" s="11">
        <v>45778</v>
      </c>
      <c r="O355">
        <v>117</v>
      </c>
      <c r="P355">
        <v>298</v>
      </c>
      <c r="Q355">
        <v>3411</v>
      </c>
      <c r="R355">
        <v>3826</v>
      </c>
    </row>
    <row r="356" spans="1:18" x14ac:dyDescent="0.25">
      <c r="A356" t="s">
        <v>975</v>
      </c>
      <c r="B356" s="8">
        <v>45764</v>
      </c>
      <c r="C356" t="s">
        <v>648</v>
      </c>
      <c r="D356" t="s">
        <v>10</v>
      </c>
      <c r="E356" t="s">
        <v>607</v>
      </c>
      <c r="F356" t="s">
        <v>978</v>
      </c>
      <c r="G356" s="2">
        <v>1</v>
      </c>
      <c r="H356" s="2">
        <v>129</v>
      </c>
      <c r="I356" t="s">
        <v>11</v>
      </c>
      <c r="J356" s="9"/>
      <c r="K356" t="str">
        <f t="shared" si="5"/>
        <v>SUBSCRIPTION</v>
      </c>
      <c r="N356" s="11">
        <v>45779</v>
      </c>
      <c r="O356">
        <v>99</v>
      </c>
      <c r="P356">
        <v>426</v>
      </c>
      <c r="Q356">
        <v>2523</v>
      </c>
      <c r="R356">
        <v>3048</v>
      </c>
    </row>
    <row r="357" spans="1:18" x14ac:dyDescent="0.25">
      <c r="A357" t="s">
        <v>976</v>
      </c>
      <c r="B357" s="8">
        <v>45764</v>
      </c>
      <c r="C357" t="s">
        <v>648</v>
      </c>
      <c r="D357" t="s">
        <v>10</v>
      </c>
      <c r="E357" t="s">
        <v>607</v>
      </c>
      <c r="F357" t="s">
        <v>979</v>
      </c>
      <c r="G357" s="2">
        <v>1</v>
      </c>
      <c r="H357" s="2">
        <v>129</v>
      </c>
      <c r="I357" t="s">
        <v>11</v>
      </c>
      <c r="J357" s="9"/>
      <c r="K357" t="str">
        <f t="shared" si="5"/>
        <v>SUBSCRIPTION</v>
      </c>
      <c r="N357" s="11">
        <v>45780</v>
      </c>
      <c r="P357">
        <v>149</v>
      </c>
      <c r="Q357">
        <v>129</v>
      </c>
      <c r="R357">
        <v>278</v>
      </c>
    </row>
    <row r="358" spans="1:18" x14ac:dyDescent="0.25">
      <c r="A358" t="s">
        <v>977</v>
      </c>
      <c r="B358" s="8">
        <v>45764</v>
      </c>
      <c r="C358" t="s">
        <v>648</v>
      </c>
      <c r="D358" t="s">
        <v>10</v>
      </c>
      <c r="E358" t="s">
        <v>607</v>
      </c>
      <c r="F358" t="s">
        <v>980</v>
      </c>
      <c r="G358" s="2">
        <v>2</v>
      </c>
      <c r="H358" s="2">
        <f>2*99</f>
        <v>198</v>
      </c>
      <c r="I358" t="s">
        <v>11</v>
      </c>
      <c r="J358" s="9"/>
      <c r="K358" t="str">
        <f t="shared" si="5"/>
        <v>SUBSCRIPTION</v>
      </c>
      <c r="N358" s="11">
        <v>45781</v>
      </c>
      <c r="Q358">
        <v>280</v>
      </c>
      <c r="R358">
        <v>280</v>
      </c>
    </row>
    <row r="359" spans="1:18" x14ac:dyDescent="0.25">
      <c r="A359" t="s">
        <v>981</v>
      </c>
      <c r="B359" s="8">
        <v>45764</v>
      </c>
      <c r="C359" t="s">
        <v>648</v>
      </c>
      <c r="D359" t="s">
        <v>10</v>
      </c>
      <c r="E359" t="s">
        <v>607</v>
      </c>
      <c r="F359" t="s">
        <v>820</v>
      </c>
      <c r="G359" s="2">
        <v>1</v>
      </c>
      <c r="H359" s="2">
        <v>99</v>
      </c>
      <c r="I359" t="s">
        <v>34</v>
      </c>
      <c r="J359" s="9"/>
      <c r="K359" t="str">
        <f t="shared" si="5"/>
        <v>SUBSCRIPTION</v>
      </c>
      <c r="N359" s="11">
        <v>45782</v>
      </c>
      <c r="Q359">
        <v>289</v>
      </c>
      <c r="R359">
        <v>289</v>
      </c>
    </row>
    <row r="360" spans="1:18" hidden="1" x14ac:dyDescent="0.25">
      <c r="A360" t="s">
        <v>984</v>
      </c>
      <c r="B360" s="8">
        <v>45764</v>
      </c>
      <c r="C360" t="s">
        <v>648</v>
      </c>
      <c r="D360" t="s">
        <v>10</v>
      </c>
      <c r="E360" t="s">
        <v>623</v>
      </c>
      <c r="F360" t="s">
        <v>451</v>
      </c>
      <c r="G360" s="2">
        <v>1</v>
      </c>
      <c r="H360" s="2">
        <v>450</v>
      </c>
      <c r="I360" t="s">
        <v>11</v>
      </c>
      <c r="J360" s="9"/>
      <c r="K360" t="str">
        <f t="shared" si="5"/>
        <v>REGULAR</v>
      </c>
      <c r="N360" s="11">
        <v>45783</v>
      </c>
      <c r="Q360">
        <v>1984</v>
      </c>
      <c r="R360">
        <v>1984</v>
      </c>
    </row>
    <row r="361" spans="1:18" hidden="1" x14ac:dyDescent="0.25">
      <c r="F361" t="s">
        <v>450</v>
      </c>
      <c r="G361" s="2">
        <v>1</v>
      </c>
      <c r="I361" t="s">
        <v>11</v>
      </c>
      <c r="J361" s="9"/>
      <c r="K361" t="str">
        <f t="shared" si="5"/>
        <v>REGULAR</v>
      </c>
      <c r="N361" s="11">
        <v>45784</v>
      </c>
      <c r="Q361">
        <v>2179</v>
      </c>
      <c r="R361">
        <v>2179</v>
      </c>
    </row>
    <row r="362" spans="1:18" hidden="1" x14ac:dyDescent="0.25">
      <c r="F362" t="s">
        <v>391</v>
      </c>
      <c r="G362" s="2">
        <v>1</v>
      </c>
      <c r="I362" t="s">
        <v>34</v>
      </c>
      <c r="J362" s="9"/>
      <c r="K362" t="str">
        <f t="shared" si="5"/>
        <v>REGULAR</v>
      </c>
      <c r="N362" s="11">
        <v>45785</v>
      </c>
      <c r="Q362">
        <v>2409</v>
      </c>
      <c r="R362">
        <v>2409</v>
      </c>
    </row>
    <row r="363" spans="1:18" hidden="1" x14ac:dyDescent="0.25">
      <c r="F363" t="s">
        <v>497</v>
      </c>
      <c r="G363" s="2">
        <v>1</v>
      </c>
      <c r="I363" t="s">
        <v>11</v>
      </c>
      <c r="J363" s="9"/>
      <c r="K363" t="str">
        <f t="shared" si="5"/>
        <v>REGULAR</v>
      </c>
      <c r="N363" s="11">
        <v>45786</v>
      </c>
      <c r="O363">
        <v>112</v>
      </c>
      <c r="P363">
        <v>129</v>
      </c>
      <c r="Q363">
        <v>3697</v>
      </c>
      <c r="R363">
        <v>3938</v>
      </c>
    </row>
    <row r="364" spans="1:18" hidden="1" x14ac:dyDescent="0.25">
      <c r="A364" t="s">
        <v>985</v>
      </c>
      <c r="B364" s="8">
        <v>45764</v>
      </c>
      <c r="C364" t="s">
        <v>648</v>
      </c>
      <c r="D364" t="s">
        <v>10</v>
      </c>
      <c r="E364" t="s">
        <v>623</v>
      </c>
      <c r="F364" t="s">
        <v>672</v>
      </c>
      <c r="G364" s="2">
        <v>1</v>
      </c>
      <c r="H364" s="2">
        <v>190</v>
      </c>
      <c r="I364" t="s">
        <v>11</v>
      </c>
      <c r="J364" s="9"/>
      <c r="K364" t="str">
        <f t="shared" si="5"/>
        <v>REGULAR</v>
      </c>
      <c r="N364" s="11">
        <v>45787</v>
      </c>
      <c r="O364">
        <v>117</v>
      </c>
      <c r="P364">
        <v>149</v>
      </c>
      <c r="Q364">
        <v>2408</v>
      </c>
      <c r="R364">
        <v>2674</v>
      </c>
    </row>
    <row r="365" spans="1:18" hidden="1" x14ac:dyDescent="0.25">
      <c r="A365" t="s">
        <v>986</v>
      </c>
      <c r="B365" s="8">
        <v>45764</v>
      </c>
      <c r="C365" t="s">
        <v>648</v>
      </c>
      <c r="D365" t="s">
        <v>10</v>
      </c>
      <c r="E365" t="s">
        <v>623</v>
      </c>
      <c r="F365" t="s">
        <v>430</v>
      </c>
      <c r="G365" s="2">
        <v>1</v>
      </c>
      <c r="H365" s="2">
        <v>140</v>
      </c>
      <c r="I365" t="s">
        <v>11</v>
      </c>
      <c r="J365" s="9"/>
      <c r="K365" t="str">
        <f t="shared" si="5"/>
        <v>REGULAR</v>
      </c>
      <c r="N365" s="11">
        <v>45788</v>
      </c>
      <c r="O365">
        <v>216</v>
      </c>
      <c r="P365">
        <v>129</v>
      </c>
      <c r="Q365">
        <v>3182</v>
      </c>
      <c r="R365">
        <v>3527</v>
      </c>
    </row>
    <row r="366" spans="1:18" hidden="1" x14ac:dyDescent="0.25">
      <c r="F366" t="s">
        <v>404</v>
      </c>
      <c r="G366" s="2">
        <v>1</v>
      </c>
      <c r="I366" t="s">
        <v>34</v>
      </c>
      <c r="J366" s="9"/>
      <c r="K366" t="str">
        <f t="shared" si="5"/>
        <v>REGULAR</v>
      </c>
      <c r="N366" s="11">
        <v>45789</v>
      </c>
      <c r="O366">
        <v>191</v>
      </c>
      <c r="P366">
        <v>79</v>
      </c>
      <c r="Q366">
        <v>1987</v>
      </c>
      <c r="R366">
        <v>2257</v>
      </c>
    </row>
    <row r="367" spans="1:18" hidden="1" x14ac:dyDescent="0.25">
      <c r="A367" t="s">
        <v>987</v>
      </c>
      <c r="B367" s="8">
        <v>45764</v>
      </c>
      <c r="C367" t="s">
        <v>648</v>
      </c>
      <c r="D367" t="s">
        <v>10</v>
      </c>
      <c r="E367" t="s">
        <v>623</v>
      </c>
      <c r="F367" t="s">
        <v>481</v>
      </c>
      <c r="G367" s="2">
        <v>1</v>
      </c>
      <c r="H367" s="2">
        <v>280</v>
      </c>
      <c r="I367" t="s">
        <v>34</v>
      </c>
      <c r="J367" s="9"/>
      <c r="K367" t="str">
        <f t="shared" si="5"/>
        <v>REGULAR</v>
      </c>
      <c r="N367" s="11">
        <v>45790</v>
      </c>
      <c r="O367">
        <v>297</v>
      </c>
      <c r="P367">
        <v>198</v>
      </c>
      <c r="Q367">
        <v>2406</v>
      </c>
      <c r="R367">
        <v>2901</v>
      </c>
    </row>
    <row r="368" spans="1:18" hidden="1" x14ac:dyDescent="0.25">
      <c r="F368" t="s">
        <v>983</v>
      </c>
      <c r="G368" s="2">
        <v>1</v>
      </c>
      <c r="I368" t="s">
        <v>11</v>
      </c>
      <c r="J368" s="9"/>
      <c r="K368" t="str">
        <f t="shared" si="5"/>
        <v>REGULAR</v>
      </c>
      <c r="N368" s="11">
        <v>45791</v>
      </c>
      <c r="O368">
        <v>158</v>
      </c>
      <c r="P368">
        <v>198</v>
      </c>
      <c r="Q368">
        <v>3508</v>
      </c>
      <c r="R368">
        <v>3864</v>
      </c>
    </row>
    <row r="369" spans="1:18" hidden="1" x14ac:dyDescent="0.25">
      <c r="A369" t="s">
        <v>982</v>
      </c>
      <c r="B369" s="8">
        <v>45765</v>
      </c>
      <c r="C369" t="s">
        <v>678</v>
      </c>
      <c r="D369" t="s">
        <v>10</v>
      </c>
      <c r="E369" t="s">
        <v>623</v>
      </c>
      <c r="F369" t="s">
        <v>789</v>
      </c>
      <c r="G369" s="2">
        <v>1</v>
      </c>
      <c r="H369" s="2">
        <v>290</v>
      </c>
      <c r="I369" t="s">
        <v>11</v>
      </c>
      <c r="J369" s="9"/>
      <c r="K369" t="str">
        <f t="shared" si="5"/>
        <v>REGULAR</v>
      </c>
      <c r="N369" s="11">
        <v>45792</v>
      </c>
      <c r="O369">
        <v>257</v>
      </c>
      <c r="Q369">
        <v>2334</v>
      </c>
      <c r="R369">
        <v>2591</v>
      </c>
    </row>
    <row r="370" spans="1:18" hidden="1" x14ac:dyDescent="0.25">
      <c r="F370" t="s">
        <v>404</v>
      </c>
      <c r="G370" s="2">
        <v>1</v>
      </c>
      <c r="I370" t="s">
        <v>34</v>
      </c>
      <c r="J370" s="9"/>
      <c r="K370" t="str">
        <f t="shared" si="5"/>
        <v>REGULAR</v>
      </c>
      <c r="N370" s="11">
        <v>45793</v>
      </c>
      <c r="O370">
        <v>426</v>
      </c>
      <c r="P370">
        <v>178</v>
      </c>
      <c r="Q370">
        <v>780</v>
      </c>
      <c r="R370">
        <v>1384</v>
      </c>
    </row>
    <row r="371" spans="1:18" hidden="1" x14ac:dyDescent="0.25">
      <c r="F371" t="s">
        <v>983</v>
      </c>
      <c r="G371" s="2">
        <v>1</v>
      </c>
      <c r="I371" t="s">
        <v>11</v>
      </c>
      <c r="J371" s="9"/>
      <c r="K371" t="str">
        <f t="shared" si="5"/>
        <v>REGULAR</v>
      </c>
      <c r="N371" s="11">
        <v>45794</v>
      </c>
      <c r="Q371">
        <v>405</v>
      </c>
      <c r="R371">
        <v>405</v>
      </c>
    </row>
    <row r="372" spans="1:18" x14ac:dyDescent="0.25">
      <c r="A372" t="s">
        <v>989</v>
      </c>
      <c r="B372" s="8">
        <v>45765</v>
      </c>
      <c r="C372" t="s">
        <v>678</v>
      </c>
      <c r="D372" t="s">
        <v>21</v>
      </c>
      <c r="E372" t="s">
        <v>607</v>
      </c>
      <c r="F372" t="s">
        <v>680</v>
      </c>
      <c r="G372" s="2">
        <v>1</v>
      </c>
      <c r="H372" s="2">
        <v>99</v>
      </c>
      <c r="I372" t="s">
        <v>11</v>
      </c>
      <c r="J372" s="9"/>
      <c r="K372" t="str">
        <f t="shared" si="5"/>
        <v>SUBSCRIPTION</v>
      </c>
      <c r="N372" s="11">
        <v>45795</v>
      </c>
      <c r="Q372">
        <v>380</v>
      </c>
      <c r="R372">
        <v>380</v>
      </c>
    </row>
    <row r="373" spans="1:18" x14ac:dyDescent="0.25">
      <c r="A373" t="s">
        <v>990</v>
      </c>
      <c r="B373" s="8">
        <v>45765</v>
      </c>
      <c r="C373" t="s">
        <v>678</v>
      </c>
      <c r="D373" t="s">
        <v>10</v>
      </c>
      <c r="E373" t="s">
        <v>607</v>
      </c>
      <c r="F373" t="s">
        <v>988</v>
      </c>
      <c r="G373" s="2">
        <v>1</v>
      </c>
      <c r="H373" s="2">
        <v>129</v>
      </c>
      <c r="I373" t="s">
        <v>34</v>
      </c>
      <c r="J373" s="9"/>
      <c r="K373" t="str">
        <f t="shared" si="5"/>
        <v>SUBSCRIPTION</v>
      </c>
      <c r="N373" s="11">
        <v>45803</v>
      </c>
      <c r="Q373">
        <v>129</v>
      </c>
      <c r="R373">
        <v>129</v>
      </c>
    </row>
    <row r="374" spans="1:18" x14ac:dyDescent="0.25">
      <c r="A374" t="s">
        <v>991</v>
      </c>
      <c r="B374" s="8">
        <v>45765</v>
      </c>
      <c r="C374" t="s">
        <v>678</v>
      </c>
      <c r="D374" t="s">
        <v>18</v>
      </c>
      <c r="E374" t="s">
        <v>607</v>
      </c>
      <c r="F374" t="s">
        <v>993</v>
      </c>
      <c r="G374" s="2">
        <v>1</v>
      </c>
      <c r="H374" s="2">
        <v>99</v>
      </c>
      <c r="I374" t="s">
        <v>11</v>
      </c>
      <c r="J374" s="9"/>
      <c r="K374" t="str">
        <f t="shared" si="5"/>
        <v>SUBSCRIPTION</v>
      </c>
      <c r="N374" s="5" t="s">
        <v>368</v>
      </c>
      <c r="O374">
        <v>8090</v>
      </c>
      <c r="P374">
        <v>8945</v>
      </c>
      <c r="Q374">
        <v>100951</v>
      </c>
      <c r="R374">
        <v>117986</v>
      </c>
    </row>
    <row r="375" spans="1:18" x14ac:dyDescent="0.25">
      <c r="A375" t="s">
        <v>992</v>
      </c>
      <c r="B375" s="8">
        <v>45765</v>
      </c>
      <c r="C375" t="s">
        <v>678</v>
      </c>
      <c r="D375" t="s">
        <v>10</v>
      </c>
      <c r="E375" t="s">
        <v>607</v>
      </c>
      <c r="F375" t="s">
        <v>879</v>
      </c>
      <c r="G375" s="2">
        <v>2</v>
      </c>
      <c r="H375" s="2">
        <v>99</v>
      </c>
      <c r="I375" t="s">
        <v>11</v>
      </c>
      <c r="J375" s="9"/>
      <c r="K375" t="str">
        <f t="shared" si="5"/>
        <v>SUBSCRIPTION</v>
      </c>
    </row>
    <row r="376" spans="1:18" x14ac:dyDescent="0.25">
      <c r="A376" t="s">
        <v>994</v>
      </c>
      <c r="B376" s="8">
        <v>45765</v>
      </c>
      <c r="C376" t="s">
        <v>678</v>
      </c>
      <c r="D376" t="s">
        <v>10</v>
      </c>
      <c r="E376" t="s">
        <v>607</v>
      </c>
      <c r="F376" t="s">
        <v>995</v>
      </c>
      <c r="G376" s="2">
        <v>1</v>
      </c>
      <c r="H376" s="2">
        <v>129</v>
      </c>
      <c r="I376" t="s">
        <v>11</v>
      </c>
      <c r="J376" s="9"/>
      <c r="K376" t="str">
        <f t="shared" si="5"/>
        <v>SUBSCRIPTION</v>
      </c>
    </row>
    <row r="377" spans="1:18" hidden="1" x14ac:dyDescent="0.25">
      <c r="A377" t="s">
        <v>996</v>
      </c>
      <c r="B377" s="8">
        <v>45765</v>
      </c>
      <c r="C377" t="s">
        <v>678</v>
      </c>
      <c r="D377" t="s">
        <v>10</v>
      </c>
      <c r="E377" t="s">
        <v>623</v>
      </c>
      <c r="F377" t="s">
        <v>667</v>
      </c>
      <c r="G377" s="2">
        <v>1</v>
      </c>
      <c r="H377" s="2">
        <v>335</v>
      </c>
      <c r="I377" t="s">
        <v>11</v>
      </c>
      <c r="J377" s="9"/>
      <c r="K377" t="str">
        <f t="shared" si="5"/>
        <v>REGULAR</v>
      </c>
    </row>
    <row r="378" spans="1:18" hidden="1" x14ac:dyDescent="0.25">
      <c r="F378" t="s">
        <v>404</v>
      </c>
      <c r="G378" s="2">
        <v>1</v>
      </c>
      <c r="I378" t="s">
        <v>34</v>
      </c>
      <c r="J378" s="9"/>
      <c r="K378" t="str">
        <f t="shared" si="5"/>
        <v>REGULAR</v>
      </c>
    </row>
    <row r="379" spans="1:18" hidden="1" x14ac:dyDescent="0.25">
      <c r="F379" t="s">
        <v>472</v>
      </c>
      <c r="G379" s="2">
        <v>1</v>
      </c>
      <c r="I379" t="s">
        <v>34</v>
      </c>
      <c r="J379" s="9"/>
      <c r="K379" t="str">
        <f t="shared" si="5"/>
        <v>REGULAR</v>
      </c>
    </row>
    <row r="380" spans="1:18" hidden="1" x14ac:dyDescent="0.25">
      <c r="F380" t="s">
        <v>492</v>
      </c>
      <c r="G380" s="2">
        <v>1</v>
      </c>
      <c r="I380" t="s">
        <v>11</v>
      </c>
      <c r="J380" s="9"/>
      <c r="K380" t="str">
        <f t="shared" si="5"/>
        <v>REGULAR</v>
      </c>
      <c r="N380" s="4" t="s">
        <v>363</v>
      </c>
      <c r="O380" t="s">
        <v>1340</v>
      </c>
      <c r="P380" t="s">
        <v>750</v>
      </c>
      <c r="Q380" s="22" t="s">
        <v>1354</v>
      </c>
      <c r="R380" s="22" t="s">
        <v>1355</v>
      </c>
    </row>
    <row r="381" spans="1:18" hidden="1" x14ac:dyDescent="0.25">
      <c r="A381" t="s">
        <v>997</v>
      </c>
      <c r="B381" s="8">
        <v>45765</v>
      </c>
      <c r="C381" t="s">
        <v>678</v>
      </c>
      <c r="D381" t="s">
        <v>10</v>
      </c>
      <c r="E381" t="s">
        <v>623</v>
      </c>
      <c r="F381" t="s">
        <v>438</v>
      </c>
      <c r="G381" s="2">
        <v>1</v>
      </c>
      <c r="H381" s="2">
        <v>280</v>
      </c>
      <c r="I381" t="s">
        <v>11</v>
      </c>
      <c r="J381" s="9"/>
      <c r="K381" t="str">
        <f t="shared" si="5"/>
        <v>REGULAR</v>
      </c>
      <c r="N381" s="5" t="s">
        <v>34</v>
      </c>
      <c r="O381">
        <v>386</v>
      </c>
      <c r="P381">
        <v>63174</v>
      </c>
      <c r="Q381" s="21">
        <f>(GETPIVOTDATA("Sum of ORDER VALUE",$N$380,"CLASSIFICATION(Veg/Non-veg/Beverage)","Non-veg")/GETPIVOTDATA("Sum of ORDER VALUE",$N$380))*100</f>
        <v>53.543640770938929</v>
      </c>
      <c r="R381" s="21">
        <f>GETPIVOTDATA("Count of CLASSIFICATION(Veg/Non-veg/Beverage)",$N$380,"CLASSIFICATION(Veg/Non-veg/Beverage)","Non-veg")/GETPIVOTDATA("Count of CLASSIFICATION(Veg/Non-veg/Beverage)",$N$380)*100</f>
        <v>43.863636363636367</v>
      </c>
    </row>
    <row r="382" spans="1:18" hidden="1" x14ac:dyDescent="0.25">
      <c r="A382" t="s">
        <v>998</v>
      </c>
      <c r="B382" s="8">
        <v>45765</v>
      </c>
      <c r="C382" t="s">
        <v>678</v>
      </c>
      <c r="D382" t="s">
        <v>10</v>
      </c>
      <c r="E382" t="s">
        <v>623</v>
      </c>
      <c r="F382" t="s">
        <v>488</v>
      </c>
      <c r="G382" s="2">
        <v>1</v>
      </c>
      <c r="H382" s="2">
        <v>220</v>
      </c>
      <c r="I382" t="s">
        <v>11</v>
      </c>
      <c r="J382" s="9"/>
      <c r="K382" t="str">
        <f t="shared" si="5"/>
        <v>REGULAR</v>
      </c>
      <c r="N382" s="18" t="s">
        <v>623</v>
      </c>
      <c r="O382">
        <v>139</v>
      </c>
      <c r="P382">
        <v>47396</v>
      </c>
      <c r="Q382" s="21">
        <f>(GETPIVOTDATA("Sum of ORDER VALUE",$N$380,"CLASSIFICATION(Veg/Non-veg/Beverage)","Veg")/GETPIVOTDATA("Sum of ORDER VALUE",$N$380))*100</f>
        <v>46.456359229061071</v>
      </c>
      <c r="R382" s="21">
        <f>GETPIVOTDATA("Count of CLASSIFICATION(Veg/Non-veg/Beverage)",$N$380,"CLASSIFICATION(Veg/Non-veg/Beverage)","Veg")/GETPIVOTDATA("Count of CLASSIFICATION(Veg/Non-veg/Beverage)",$N$380)*100</f>
        <v>56.13636363636364</v>
      </c>
    </row>
    <row r="383" spans="1:18" hidden="1" x14ac:dyDescent="0.25">
      <c r="F383" t="s">
        <v>492</v>
      </c>
      <c r="G383" s="2">
        <v>1</v>
      </c>
      <c r="I383" t="s">
        <v>11</v>
      </c>
      <c r="J383" s="9"/>
      <c r="K383" t="str">
        <f t="shared" si="5"/>
        <v>REGULAR</v>
      </c>
      <c r="N383" s="18" t="s">
        <v>607</v>
      </c>
      <c r="O383">
        <v>119</v>
      </c>
      <c r="P383">
        <v>15778</v>
      </c>
    </row>
    <row r="384" spans="1:18" hidden="1" x14ac:dyDescent="0.25">
      <c r="F384" t="s">
        <v>999</v>
      </c>
      <c r="G384" s="2">
        <v>1</v>
      </c>
      <c r="I384" t="s">
        <v>11</v>
      </c>
      <c r="J384" s="9"/>
      <c r="K384" t="str">
        <f t="shared" si="5"/>
        <v>REGULAR</v>
      </c>
      <c r="N384" s="18" t="s">
        <v>1339</v>
      </c>
      <c r="O384">
        <v>128</v>
      </c>
    </row>
    <row r="385" spans="1:18" hidden="1" x14ac:dyDescent="0.25">
      <c r="A385" t="s">
        <v>1000</v>
      </c>
      <c r="B385" s="8">
        <v>45765</v>
      </c>
      <c r="C385" t="s">
        <v>678</v>
      </c>
      <c r="D385" t="s">
        <v>10</v>
      </c>
      <c r="E385" t="s">
        <v>623</v>
      </c>
      <c r="F385" t="s">
        <v>983</v>
      </c>
      <c r="G385" s="2">
        <v>1</v>
      </c>
      <c r="H385" s="2">
        <v>220</v>
      </c>
      <c r="I385" t="s">
        <v>11</v>
      </c>
      <c r="J385" s="9"/>
      <c r="K385" t="str">
        <f t="shared" si="5"/>
        <v>REGULAR</v>
      </c>
      <c r="N385" s="5" t="s">
        <v>11</v>
      </c>
      <c r="O385">
        <v>494</v>
      </c>
      <c r="P385">
        <v>54812</v>
      </c>
      <c r="Q385" t="s">
        <v>1357</v>
      </c>
      <c r="R385" t="s">
        <v>1365</v>
      </c>
    </row>
    <row r="386" spans="1:18" hidden="1" x14ac:dyDescent="0.25">
      <c r="F386" t="s">
        <v>1001</v>
      </c>
      <c r="G386" s="2">
        <v>1</v>
      </c>
      <c r="I386" t="s">
        <v>34</v>
      </c>
      <c r="J386" s="9"/>
      <c r="K386" t="str">
        <f t="shared" ref="K386:K449" si="6">IF(E386&lt;&gt;"", E386, K385)</f>
        <v>REGULAR</v>
      </c>
      <c r="N386" s="18" t="s">
        <v>623</v>
      </c>
      <c r="O386">
        <v>130</v>
      </c>
      <c r="P386">
        <v>33820</v>
      </c>
      <c r="Q386">
        <f>(GETPIVOTDATA("Sum of ORDER VALUE",$N$380,"TYPE(SUBSCRIPTION/REGULAR)","REGULAR","CLASSIFICATION(Veg/Non-veg/Beverage)","Non-veg")+GETPIVOTDATA("Sum of ORDER VALUE",$N$380,"TYPE(SUBSCRIPTION/REGULAR)","REGULAR","CLASSIFICATION(Veg/Non-veg/Beverage)","Veg"))/GETPIVOTDATA("Sum of ORDER VALUE",$N$380)*100</f>
        <v>68.83528554235248</v>
      </c>
      <c r="R386" t="s">
        <v>1343</v>
      </c>
    </row>
    <row r="387" spans="1:18" hidden="1" x14ac:dyDescent="0.25">
      <c r="A387" t="s">
        <v>1002</v>
      </c>
      <c r="B387" s="8">
        <v>45765</v>
      </c>
      <c r="C387" t="s">
        <v>678</v>
      </c>
      <c r="D387" t="s">
        <v>10</v>
      </c>
      <c r="E387" t="s">
        <v>623</v>
      </c>
      <c r="F387" t="s">
        <v>392</v>
      </c>
      <c r="G387" s="2">
        <v>1</v>
      </c>
      <c r="H387" s="2">
        <v>190</v>
      </c>
      <c r="I387" t="s">
        <v>34</v>
      </c>
      <c r="J387" s="9"/>
      <c r="K387" t="str">
        <f t="shared" si="6"/>
        <v>REGULAR</v>
      </c>
      <c r="N387" s="18" t="s">
        <v>607</v>
      </c>
      <c r="O387">
        <v>179</v>
      </c>
      <c r="P387">
        <v>20992</v>
      </c>
      <c r="Q387">
        <f>(GETPIVOTDATA("Sum of ORDER VALUE",$N$380,"TYPE(SUBSCRIPTION/REGULAR)","SUBSCRIPTION","CLASSIFICATION(Veg/Non-veg/Beverage)","Non-veg")+GETPIVOTDATA("Sum of ORDER VALUE",$N$380,"TYPE(SUBSCRIPTION/REGULAR)","SUBSCRIPTION","CLASSIFICATION(Veg/Non-veg/Beverage)","Veg"))/GETPIVOTDATA("Sum of ORDER VALUE",$N$380)*100</f>
        <v>31.16471445764752</v>
      </c>
      <c r="R387" t="s">
        <v>1356</v>
      </c>
    </row>
    <row r="388" spans="1:18" hidden="1" x14ac:dyDescent="0.25">
      <c r="A388" t="s">
        <v>1003</v>
      </c>
      <c r="B388" s="8">
        <v>45765</v>
      </c>
      <c r="C388" t="s">
        <v>678</v>
      </c>
      <c r="D388" t="s">
        <v>10</v>
      </c>
      <c r="E388" t="s">
        <v>623</v>
      </c>
      <c r="F388" t="s">
        <v>752</v>
      </c>
      <c r="G388" s="2">
        <v>1</v>
      </c>
      <c r="H388" s="2">
        <v>260</v>
      </c>
      <c r="I388" t="s">
        <v>34</v>
      </c>
      <c r="J388" s="9"/>
      <c r="K388" t="str">
        <f t="shared" si="6"/>
        <v>REGULAR</v>
      </c>
      <c r="N388" s="18" t="s">
        <v>1339</v>
      </c>
      <c r="O388">
        <v>185</v>
      </c>
    </row>
    <row r="389" spans="1:18" hidden="1" x14ac:dyDescent="0.25">
      <c r="F389" t="s">
        <v>673</v>
      </c>
      <c r="G389" s="2">
        <v>1</v>
      </c>
      <c r="I389" t="s">
        <v>11</v>
      </c>
      <c r="J389" s="9"/>
      <c r="K389" t="str">
        <f t="shared" si="6"/>
        <v>REGULAR</v>
      </c>
      <c r="N389" s="5" t="s">
        <v>368</v>
      </c>
      <c r="O389">
        <v>880</v>
      </c>
      <c r="P389">
        <v>117986</v>
      </c>
    </row>
    <row r="390" spans="1:18" hidden="1" x14ac:dyDescent="0.25">
      <c r="A390" t="s">
        <v>1004</v>
      </c>
      <c r="B390" s="8">
        <v>45765</v>
      </c>
      <c r="C390" t="s">
        <v>678</v>
      </c>
      <c r="D390" t="s">
        <v>10</v>
      </c>
      <c r="E390" t="s">
        <v>623</v>
      </c>
      <c r="F390" t="s">
        <v>481</v>
      </c>
      <c r="G390" s="2">
        <v>1</v>
      </c>
      <c r="H390" s="2">
        <v>120</v>
      </c>
      <c r="I390" t="s">
        <v>34</v>
      </c>
      <c r="J390" s="9"/>
      <c r="K390" t="str">
        <f t="shared" si="6"/>
        <v>REGULAR</v>
      </c>
    </row>
    <row r="391" spans="1:18" hidden="1" x14ac:dyDescent="0.25">
      <c r="A391" t="s">
        <v>1005</v>
      </c>
      <c r="B391" s="8">
        <v>45765</v>
      </c>
      <c r="C391" t="s">
        <v>678</v>
      </c>
      <c r="D391" t="s">
        <v>10</v>
      </c>
      <c r="E391" t="s">
        <v>623</v>
      </c>
      <c r="F391" t="s">
        <v>394</v>
      </c>
      <c r="G391" s="2">
        <v>1</v>
      </c>
      <c r="H391" s="2">
        <v>330</v>
      </c>
      <c r="I391" t="s">
        <v>34</v>
      </c>
      <c r="J391" s="9"/>
      <c r="K391" t="str">
        <f t="shared" si="6"/>
        <v>REGULAR</v>
      </c>
    </row>
    <row r="392" spans="1:18" hidden="1" x14ac:dyDescent="0.25">
      <c r="F392" t="s">
        <v>451</v>
      </c>
      <c r="G392" s="2">
        <v>1</v>
      </c>
      <c r="I392" t="s">
        <v>11</v>
      </c>
      <c r="J392" s="9"/>
      <c r="K392" t="str">
        <f t="shared" si="6"/>
        <v>REGULAR</v>
      </c>
    </row>
    <row r="393" spans="1:18" hidden="1" x14ac:dyDescent="0.25">
      <c r="A393" t="s">
        <v>1006</v>
      </c>
      <c r="B393" s="8">
        <v>45765</v>
      </c>
      <c r="C393" t="s">
        <v>678</v>
      </c>
      <c r="D393" t="s">
        <v>10</v>
      </c>
      <c r="E393" t="s">
        <v>623</v>
      </c>
      <c r="F393" t="s">
        <v>396</v>
      </c>
      <c r="G393" s="2">
        <v>1</v>
      </c>
      <c r="H393" s="2">
        <v>220</v>
      </c>
      <c r="I393" t="s">
        <v>11</v>
      </c>
      <c r="J393" s="9"/>
      <c r="K393" t="str">
        <f t="shared" si="6"/>
        <v>REGULAR</v>
      </c>
    </row>
    <row r="394" spans="1:18" hidden="1" x14ac:dyDescent="0.25">
      <c r="F394" t="s">
        <v>430</v>
      </c>
      <c r="G394" s="2">
        <v>1</v>
      </c>
      <c r="I394" t="s">
        <v>11</v>
      </c>
      <c r="J394" s="9"/>
      <c r="K394" t="str">
        <f t="shared" si="6"/>
        <v>REGULAR</v>
      </c>
    </row>
    <row r="395" spans="1:18" hidden="1" x14ac:dyDescent="0.25">
      <c r="F395" t="s">
        <v>1001</v>
      </c>
      <c r="G395" s="2">
        <v>1</v>
      </c>
      <c r="I395" t="s">
        <v>34</v>
      </c>
      <c r="J395" s="9"/>
      <c r="K395" t="str">
        <f t="shared" si="6"/>
        <v>REGULAR</v>
      </c>
    </row>
    <row r="396" spans="1:18" hidden="1" x14ac:dyDescent="0.25">
      <c r="A396" t="s">
        <v>1007</v>
      </c>
      <c r="B396" s="8">
        <v>45765</v>
      </c>
      <c r="C396" t="s">
        <v>678</v>
      </c>
      <c r="D396" t="s">
        <v>10</v>
      </c>
      <c r="E396" t="s">
        <v>623</v>
      </c>
      <c r="F396" t="s">
        <v>699</v>
      </c>
      <c r="G396" s="2">
        <v>2</v>
      </c>
      <c r="H396" s="2">
        <v>260</v>
      </c>
      <c r="I396" t="s">
        <v>11</v>
      </c>
      <c r="J396" s="9"/>
      <c r="K396" t="str">
        <f t="shared" si="6"/>
        <v>REGULAR</v>
      </c>
    </row>
    <row r="397" spans="1:18" hidden="1" x14ac:dyDescent="0.25">
      <c r="F397" t="s">
        <v>428</v>
      </c>
      <c r="G397" s="2">
        <v>1</v>
      </c>
      <c r="I397" t="s">
        <v>11</v>
      </c>
      <c r="J397" s="9"/>
      <c r="K397" t="str">
        <f t="shared" si="6"/>
        <v>REGULAR</v>
      </c>
    </row>
    <row r="398" spans="1:18" x14ac:dyDescent="0.25">
      <c r="A398" t="s">
        <v>1008</v>
      </c>
      <c r="B398" s="8">
        <v>45766</v>
      </c>
      <c r="C398" t="s">
        <v>703</v>
      </c>
      <c r="D398" t="s">
        <v>21</v>
      </c>
      <c r="E398" t="s">
        <v>607</v>
      </c>
      <c r="F398" t="s">
        <v>1009</v>
      </c>
      <c r="G398" s="2">
        <v>1</v>
      </c>
      <c r="H398" s="2">
        <v>79</v>
      </c>
      <c r="I398" t="s">
        <v>11</v>
      </c>
      <c r="J398" s="9"/>
      <c r="K398" t="str">
        <f t="shared" si="6"/>
        <v>SUBSCRIPTION</v>
      </c>
    </row>
    <row r="399" spans="1:18" x14ac:dyDescent="0.25">
      <c r="A399" t="s">
        <v>1010</v>
      </c>
      <c r="B399" s="8">
        <v>45766</v>
      </c>
      <c r="C399" t="s">
        <v>703</v>
      </c>
      <c r="D399" t="s">
        <v>21</v>
      </c>
      <c r="E399" t="s">
        <v>607</v>
      </c>
      <c r="F399" t="s">
        <v>1009</v>
      </c>
      <c r="G399" s="2">
        <v>2</v>
      </c>
      <c r="H399" s="2">
        <f>2*79</f>
        <v>158</v>
      </c>
      <c r="I399" t="s">
        <v>11</v>
      </c>
      <c r="J399" s="9"/>
      <c r="K399" t="str">
        <f t="shared" si="6"/>
        <v>SUBSCRIPTION</v>
      </c>
    </row>
    <row r="400" spans="1:18" x14ac:dyDescent="0.25">
      <c r="A400" t="s">
        <v>1011</v>
      </c>
      <c r="B400" s="8">
        <v>45766</v>
      </c>
      <c r="C400" t="s">
        <v>703</v>
      </c>
      <c r="D400" t="s">
        <v>18</v>
      </c>
      <c r="E400" t="s">
        <v>607</v>
      </c>
      <c r="F400" t="s">
        <v>886</v>
      </c>
      <c r="G400" s="2">
        <v>1</v>
      </c>
      <c r="H400" s="2">
        <v>79</v>
      </c>
      <c r="I400" t="s">
        <v>11</v>
      </c>
      <c r="J400" s="9"/>
      <c r="K400" t="str">
        <f t="shared" si="6"/>
        <v>SUBSCRIPTION</v>
      </c>
    </row>
    <row r="401" spans="1:11" x14ac:dyDescent="0.25">
      <c r="A401" t="s">
        <v>1012</v>
      </c>
      <c r="B401" s="8">
        <v>45766</v>
      </c>
      <c r="C401" t="s">
        <v>703</v>
      </c>
      <c r="D401" t="s">
        <v>10</v>
      </c>
      <c r="E401" t="s">
        <v>607</v>
      </c>
      <c r="F401" t="s">
        <v>891</v>
      </c>
      <c r="G401" s="2">
        <v>1</v>
      </c>
      <c r="H401" s="2">
        <v>149</v>
      </c>
      <c r="I401" t="s">
        <v>34</v>
      </c>
      <c r="J401" s="9"/>
      <c r="K401" t="str">
        <f t="shared" si="6"/>
        <v>SUBSCRIPTION</v>
      </c>
    </row>
    <row r="402" spans="1:11" x14ac:dyDescent="0.25">
      <c r="A402" t="s">
        <v>1013</v>
      </c>
      <c r="B402" s="8">
        <v>45766</v>
      </c>
      <c r="C402" t="s">
        <v>703</v>
      </c>
      <c r="D402" t="s">
        <v>10</v>
      </c>
      <c r="E402" t="s">
        <v>607</v>
      </c>
      <c r="F402" t="s">
        <v>896</v>
      </c>
      <c r="G402" s="2">
        <v>1</v>
      </c>
      <c r="H402" s="2">
        <v>129</v>
      </c>
      <c r="I402" t="s">
        <v>11</v>
      </c>
      <c r="J402" s="9"/>
      <c r="K402" t="str">
        <f t="shared" si="6"/>
        <v>SUBSCRIPTION</v>
      </c>
    </row>
    <row r="403" spans="1:11" x14ac:dyDescent="0.25">
      <c r="A403" t="s">
        <v>1014</v>
      </c>
      <c r="B403" s="8">
        <v>45766</v>
      </c>
      <c r="C403" t="s">
        <v>703</v>
      </c>
      <c r="D403" t="s">
        <v>10</v>
      </c>
      <c r="E403" t="s">
        <v>607</v>
      </c>
      <c r="F403" t="s">
        <v>893</v>
      </c>
      <c r="G403" s="2">
        <v>2</v>
      </c>
      <c r="H403" s="2">
        <v>99</v>
      </c>
      <c r="I403" t="s">
        <v>11</v>
      </c>
      <c r="J403" s="9"/>
      <c r="K403" t="str">
        <f t="shared" si="6"/>
        <v>SUBSCRIPTION</v>
      </c>
    </row>
    <row r="404" spans="1:11" x14ac:dyDescent="0.25">
      <c r="A404" t="s">
        <v>1015</v>
      </c>
      <c r="B404" s="8">
        <v>45766</v>
      </c>
      <c r="C404" t="s">
        <v>703</v>
      </c>
      <c r="D404" t="s">
        <v>10</v>
      </c>
      <c r="E404" t="s">
        <v>607</v>
      </c>
      <c r="F404" t="s">
        <v>891</v>
      </c>
      <c r="G404" s="2">
        <v>1</v>
      </c>
      <c r="H404" s="2">
        <v>129</v>
      </c>
      <c r="I404" t="s">
        <v>34</v>
      </c>
      <c r="J404" s="9"/>
      <c r="K404" t="str">
        <f t="shared" si="6"/>
        <v>SUBSCRIPTION</v>
      </c>
    </row>
    <row r="405" spans="1:11" x14ac:dyDescent="0.25">
      <c r="A405" t="s">
        <v>1017</v>
      </c>
      <c r="B405" s="8">
        <v>45766</v>
      </c>
      <c r="C405" t="s">
        <v>703</v>
      </c>
      <c r="D405" t="s">
        <v>18</v>
      </c>
      <c r="E405" t="s">
        <v>607</v>
      </c>
      <c r="F405" t="s">
        <v>886</v>
      </c>
      <c r="G405" s="2">
        <v>1</v>
      </c>
      <c r="H405" s="2">
        <v>79</v>
      </c>
      <c r="I405" t="s">
        <v>11</v>
      </c>
      <c r="J405" s="9"/>
      <c r="K405" t="str">
        <f t="shared" si="6"/>
        <v>SUBSCRIPTION</v>
      </c>
    </row>
    <row r="406" spans="1:11" x14ac:dyDescent="0.25">
      <c r="A406" t="s">
        <v>1016</v>
      </c>
      <c r="B406" s="8">
        <v>45766</v>
      </c>
      <c r="C406" t="s">
        <v>703</v>
      </c>
      <c r="D406" t="s">
        <v>21</v>
      </c>
      <c r="E406" t="s">
        <v>607</v>
      </c>
      <c r="F406" t="s">
        <v>1009</v>
      </c>
      <c r="G406" s="2">
        <v>1</v>
      </c>
      <c r="H406" s="2">
        <v>79</v>
      </c>
      <c r="I406" t="s">
        <v>11</v>
      </c>
      <c r="J406" s="9"/>
      <c r="K406" t="str">
        <f t="shared" si="6"/>
        <v>SUBSCRIPTION</v>
      </c>
    </row>
    <row r="407" spans="1:11" hidden="1" x14ac:dyDescent="0.25">
      <c r="A407" t="s">
        <v>1018</v>
      </c>
      <c r="B407" s="8">
        <v>45766</v>
      </c>
      <c r="C407" t="s">
        <v>703</v>
      </c>
      <c r="D407" t="s">
        <v>10</v>
      </c>
      <c r="E407" t="s">
        <v>623</v>
      </c>
      <c r="F407" t="s">
        <v>969</v>
      </c>
      <c r="G407" s="2">
        <v>1</v>
      </c>
      <c r="H407" s="2">
        <v>170</v>
      </c>
      <c r="I407" t="s">
        <v>34</v>
      </c>
      <c r="J407" s="9"/>
      <c r="K407" t="str">
        <f t="shared" si="6"/>
        <v>REGULAR</v>
      </c>
    </row>
    <row r="408" spans="1:11" hidden="1" x14ac:dyDescent="0.25">
      <c r="A408" t="s">
        <v>1019</v>
      </c>
      <c r="B408" s="8">
        <v>45766</v>
      </c>
      <c r="C408" t="s">
        <v>703</v>
      </c>
      <c r="D408" t="s">
        <v>10</v>
      </c>
      <c r="E408" t="s">
        <v>623</v>
      </c>
      <c r="F408" t="s">
        <v>428</v>
      </c>
      <c r="G408" s="2">
        <v>1</v>
      </c>
      <c r="H408" s="2">
        <v>520</v>
      </c>
      <c r="I408" t="s">
        <v>11</v>
      </c>
      <c r="J408" s="9"/>
      <c r="K408" t="str">
        <f t="shared" si="6"/>
        <v>REGULAR</v>
      </c>
    </row>
    <row r="409" spans="1:11" hidden="1" x14ac:dyDescent="0.25">
      <c r="F409" t="s">
        <v>945</v>
      </c>
      <c r="G409" s="2">
        <v>1</v>
      </c>
      <c r="I409" t="s">
        <v>34</v>
      </c>
      <c r="J409" s="9"/>
      <c r="K409" t="str">
        <f t="shared" si="6"/>
        <v>REGULAR</v>
      </c>
    </row>
    <row r="410" spans="1:11" hidden="1" x14ac:dyDescent="0.25">
      <c r="F410" t="s">
        <v>396</v>
      </c>
      <c r="G410" s="2">
        <v>1</v>
      </c>
      <c r="I410" t="s">
        <v>11</v>
      </c>
      <c r="J410" s="9"/>
      <c r="K410" t="str">
        <f t="shared" si="6"/>
        <v>REGULAR</v>
      </c>
    </row>
    <row r="411" spans="1:11" hidden="1" x14ac:dyDescent="0.25">
      <c r="F411" t="s">
        <v>789</v>
      </c>
      <c r="G411" s="2">
        <v>1</v>
      </c>
      <c r="I411" t="s">
        <v>11</v>
      </c>
      <c r="J411" s="9"/>
      <c r="K411" t="str">
        <f t="shared" si="6"/>
        <v>REGULAR</v>
      </c>
    </row>
    <row r="412" spans="1:11" hidden="1" x14ac:dyDescent="0.25">
      <c r="A412" t="s">
        <v>1020</v>
      </c>
      <c r="B412" s="8">
        <v>45766</v>
      </c>
      <c r="C412" t="s">
        <v>703</v>
      </c>
      <c r="D412" t="s">
        <v>10</v>
      </c>
      <c r="E412" t="s">
        <v>623</v>
      </c>
      <c r="F412" t="s">
        <v>428</v>
      </c>
      <c r="G412" s="2">
        <v>1</v>
      </c>
      <c r="H412" s="2">
        <v>390</v>
      </c>
      <c r="I412" t="s">
        <v>11</v>
      </c>
      <c r="J412" s="9"/>
      <c r="K412" t="str">
        <f t="shared" si="6"/>
        <v>REGULAR</v>
      </c>
    </row>
    <row r="413" spans="1:11" hidden="1" x14ac:dyDescent="0.25">
      <c r="F413" t="s">
        <v>699</v>
      </c>
      <c r="G413" s="2">
        <v>1</v>
      </c>
      <c r="I413" t="s">
        <v>11</v>
      </c>
      <c r="J413" s="9"/>
      <c r="K413" t="str">
        <f t="shared" si="6"/>
        <v>REGULAR</v>
      </c>
    </row>
    <row r="414" spans="1:11" hidden="1" x14ac:dyDescent="0.25">
      <c r="F414" t="s">
        <v>493</v>
      </c>
      <c r="G414" s="2">
        <v>1</v>
      </c>
      <c r="I414" t="s">
        <v>11</v>
      </c>
      <c r="J414" s="9"/>
      <c r="K414" t="str">
        <f t="shared" si="6"/>
        <v>REGULAR</v>
      </c>
    </row>
    <row r="415" spans="1:11" hidden="1" x14ac:dyDescent="0.25">
      <c r="F415" t="s">
        <v>71</v>
      </c>
      <c r="G415" s="2">
        <v>1</v>
      </c>
      <c r="I415" t="s">
        <v>11</v>
      </c>
      <c r="J415" s="9"/>
      <c r="K415" t="str">
        <f t="shared" si="6"/>
        <v>REGULAR</v>
      </c>
    </row>
    <row r="416" spans="1:11" hidden="1" x14ac:dyDescent="0.25">
      <c r="F416" t="s">
        <v>492</v>
      </c>
      <c r="G416" s="2">
        <v>1</v>
      </c>
      <c r="I416" t="s">
        <v>11</v>
      </c>
      <c r="J416" s="9"/>
      <c r="K416" t="str">
        <f t="shared" si="6"/>
        <v>REGULAR</v>
      </c>
    </row>
    <row r="417" spans="1:11" hidden="1" x14ac:dyDescent="0.25">
      <c r="A417" t="s">
        <v>1021</v>
      </c>
      <c r="B417" s="8">
        <v>45766</v>
      </c>
      <c r="C417" t="s">
        <v>703</v>
      </c>
      <c r="D417" t="s">
        <v>10</v>
      </c>
      <c r="E417" t="s">
        <v>623</v>
      </c>
      <c r="F417" t="s">
        <v>450</v>
      </c>
      <c r="G417" s="2">
        <v>1</v>
      </c>
      <c r="H417" s="2">
        <v>305</v>
      </c>
      <c r="I417" t="s">
        <v>11</v>
      </c>
      <c r="J417" s="9"/>
      <c r="K417" t="str">
        <f t="shared" si="6"/>
        <v>REGULAR</v>
      </c>
    </row>
    <row r="418" spans="1:11" hidden="1" x14ac:dyDescent="0.25">
      <c r="F418" t="s">
        <v>71</v>
      </c>
      <c r="G418" s="2">
        <v>1</v>
      </c>
      <c r="I418" t="s">
        <v>11</v>
      </c>
      <c r="J418" s="9"/>
      <c r="K418" t="str">
        <f t="shared" si="6"/>
        <v>REGULAR</v>
      </c>
    </row>
    <row r="419" spans="1:11" hidden="1" x14ac:dyDescent="0.25">
      <c r="F419" t="s">
        <v>699</v>
      </c>
      <c r="G419" s="2">
        <v>1</v>
      </c>
      <c r="I419" t="s">
        <v>11</v>
      </c>
      <c r="J419" s="9"/>
      <c r="K419" t="str">
        <f t="shared" si="6"/>
        <v>REGULAR</v>
      </c>
    </row>
    <row r="420" spans="1:11" hidden="1" x14ac:dyDescent="0.25">
      <c r="F420" t="s">
        <v>497</v>
      </c>
      <c r="G420" s="2">
        <v>1</v>
      </c>
      <c r="I420" t="s">
        <v>11</v>
      </c>
      <c r="J420" s="9"/>
      <c r="K420" t="str">
        <f t="shared" si="6"/>
        <v>REGULAR</v>
      </c>
    </row>
    <row r="421" spans="1:11" hidden="1" x14ac:dyDescent="0.25">
      <c r="A421" t="s">
        <v>1022</v>
      </c>
      <c r="B421" s="8">
        <v>45766</v>
      </c>
      <c r="C421" t="s">
        <v>703</v>
      </c>
      <c r="D421" t="s">
        <v>10</v>
      </c>
      <c r="E421" t="s">
        <v>623</v>
      </c>
      <c r="F421" t="s">
        <v>488</v>
      </c>
      <c r="G421" s="2">
        <v>1</v>
      </c>
      <c r="H421" s="2">
        <v>380</v>
      </c>
      <c r="I421" t="s">
        <v>11</v>
      </c>
      <c r="J421" s="9"/>
      <c r="K421" t="str">
        <f t="shared" si="6"/>
        <v>REGULAR</v>
      </c>
    </row>
    <row r="422" spans="1:11" hidden="1" x14ac:dyDescent="0.25">
      <c r="F422" t="s">
        <v>401</v>
      </c>
      <c r="G422" s="2">
        <v>5</v>
      </c>
      <c r="I422" t="s">
        <v>34</v>
      </c>
      <c r="J422" s="9"/>
      <c r="K422" t="str">
        <f t="shared" si="6"/>
        <v>REGULAR</v>
      </c>
    </row>
    <row r="423" spans="1:11" hidden="1" x14ac:dyDescent="0.25">
      <c r="A423" t="s">
        <v>1023</v>
      </c>
      <c r="B423" s="8">
        <v>45766</v>
      </c>
      <c r="C423" t="s">
        <v>703</v>
      </c>
      <c r="D423" t="s">
        <v>10</v>
      </c>
      <c r="E423" t="s">
        <v>623</v>
      </c>
      <c r="F423" t="s">
        <v>471</v>
      </c>
      <c r="G423" s="2">
        <v>1</v>
      </c>
      <c r="H423" s="2">
        <v>650</v>
      </c>
      <c r="I423" t="s">
        <v>34</v>
      </c>
      <c r="J423" s="9"/>
      <c r="K423" t="str">
        <f t="shared" si="6"/>
        <v>REGULAR</v>
      </c>
    </row>
    <row r="424" spans="1:11" hidden="1" x14ac:dyDescent="0.25">
      <c r="F424" t="s">
        <v>646</v>
      </c>
      <c r="G424" s="2">
        <v>1</v>
      </c>
      <c r="I424" t="s">
        <v>11</v>
      </c>
      <c r="J424" s="9"/>
      <c r="K424" t="str">
        <f t="shared" si="6"/>
        <v>REGULAR</v>
      </c>
    </row>
    <row r="425" spans="1:11" hidden="1" x14ac:dyDescent="0.25">
      <c r="F425" t="s">
        <v>391</v>
      </c>
      <c r="G425" s="2">
        <v>1</v>
      </c>
      <c r="I425" t="s">
        <v>34</v>
      </c>
      <c r="J425" s="9"/>
      <c r="K425" t="str">
        <f t="shared" si="6"/>
        <v>REGULAR</v>
      </c>
    </row>
    <row r="426" spans="1:11" hidden="1" x14ac:dyDescent="0.25">
      <c r="F426" t="s">
        <v>392</v>
      </c>
      <c r="G426" s="2">
        <v>1</v>
      </c>
      <c r="I426" t="s">
        <v>34</v>
      </c>
      <c r="J426" s="9"/>
      <c r="K426" t="str">
        <f t="shared" si="6"/>
        <v>REGULAR</v>
      </c>
    </row>
    <row r="427" spans="1:11" hidden="1" x14ac:dyDescent="0.25">
      <c r="A427" t="s">
        <v>1024</v>
      </c>
      <c r="B427" s="8">
        <v>45766</v>
      </c>
      <c r="C427" t="s">
        <v>703</v>
      </c>
      <c r="D427" t="s">
        <v>10</v>
      </c>
      <c r="E427" t="s">
        <v>623</v>
      </c>
      <c r="F427" t="s">
        <v>394</v>
      </c>
      <c r="G427" s="2">
        <v>1</v>
      </c>
      <c r="H427" s="2">
        <v>200</v>
      </c>
      <c r="I427" t="s">
        <v>34</v>
      </c>
      <c r="J427" s="9"/>
      <c r="K427" t="str">
        <f t="shared" si="6"/>
        <v>REGULAR</v>
      </c>
    </row>
    <row r="428" spans="1:11" x14ac:dyDescent="0.25">
      <c r="A428" t="s">
        <v>1025</v>
      </c>
      <c r="B428" s="8">
        <v>45767</v>
      </c>
      <c r="C428" t="s">
        <v>724</v>
      </c>
      <c r="D428" t="s">
        <v>10</v>
      </c>
      <c r="E428" t="s">
        <v>607</v>
      </c>
      <c r="F428" t="s">
        <v>727</v>
      </c>
      <c r="G428" s="2">
        <v>1</v>
      </c>
      <c r="H428" s="2">
        <v>129</v>
      </c>
      <c r="I428" t="s">
        <v>34</v>
      </c>
      <c r="J428" s="9"/>
      <c r="K428" t="str">
        <f t="shared" si="6"/>
        <v>SUBSCRIPTION</v>
      </c>
    </row>
    <row r="429" spans="1:11" x14ac:dyDescent="0.25">
      <c r="A429" t="s">
        <v>1027</v>
      </c>
      <c r="B429" s="8">
        <v>45767</v>
      </c>
      <c r="C429" t="s">
        <v>724</v>
      </c>
      <c r="D429" t="s">
        <v>21</v>
      </c>
      <c r="E429" t="s">
        <v>607</v>
      </c>
      <c r="F429" t="s">
        <v>1026</v>
      </c>
      <c r="G429" s="2">
        <v>1</v>
      </c>
      <c r="H429" s="2">
        <v>117</v>
      </c>
      <c r="I429" t="s">
        <v>34</v>
      </c>
      <c r="J429" s="9"/>
      <c r="K429" t="str">
        <f t="shared" si="6"/>
        <v>SUBSCRIPTION</v>
      </c>
    </row>
    <row r="430" spans="1:11" x14ac:dyDescent="0.25">
      <c r="A430" t="s">
        <v>1028</v>
      </c>
      <c r="B430" s="8">
        <v>45767</v>
      </c>
      <c r="C430" t="s">
        <v>724</v>
      </c>
      <c r="D430" t="s">
        <v>18</v>
      </c>
      <c r="E430" t="s">
        <v>607</v>
      </c>
      <c r="F430" t="s">
        <v>903</v>
      </c>
      <c r="G430" s="2">
        <v>1</v>
      </c>
      <c r="H430" s="2">
        <v>129</v>
      </c>
      <c r="I430" t="s">
        <v>34</v>
      </c>
      <c r="J430" s="9"/>
      <c r="K430" t="str">
        <f t="shared" si="6"/>
        <v>SUBSCRIPTION</v>
      </c>
    </row>
    <row r="431" spans="1:11" x14ac:dyDescent="0.25">
      <c r="A431" t="s">
        <v>1030</v>
      </c>
      <c r="B431" s="8">
        <v>45767</v>
      </c>
      <c r="C431" t="s">
        <v>724</v>
      </c>
      <c r="D431" t="s">
        <v>10</v>
      </c>
      <c r="E431" t="s">
        <v>607</v>
      </c>
      <c r="F431" t="s">
        <v>1029</v>
      </c>
      <c r="G431" s="2">
        <v>1</v>
      </c>
      <c r="H431" s="2">
        <v>99</v>
      </c>
      <c r="I431" t="s">
        <v>11</v>
      </c>
      <c r="J431" s="9"/>
      <c r="K431" t="str">
        <f t="shared" si="6"/>
        <v>SUBSCRIPTION</v>
      </c>
    </row>
    <row r="432" spans="1:11" hidden="1" x14ac:dyDescent="0.25">
      <c r="A432" t="s">
        <v>1031</v>
      </c>
      <c r="B432" s="8">
        <v>45767</v>
      </c>
      <c r="C432" t="s">
        <v>724</v>
      </c>
      <c r="D432" t="s">
        <v>10</v>
      </c>
      <c r="E432" t="s">
        <v>623</v>
      </c>
      <c r="F432" t="s">
        <v>477</v>
      </c>
      <c r="G432" s="2">
        <v>2</v>
      </c>
      <c r="H432" s="2">
        <v>580</v>
      </c>
      <c r="I432" t="s">
        <v>34</v>
      </c>
      <c r="J432" s="9"/>
      <c r="K432" t="str">
        <f t="shared" si="6"/>
        <v>REGULAR</v>
      </c>
    </row>
    <row r="433" spans="1:11" hidden="1" x14ac:dyDescent="0.25">
      <c r="A433" t="s">
        <v>1032</v>
      </c>
      <c r="B433" s="8">
        <v>45767</v>
      </c>
      <c r="C433" t="s">
        <v>724</v>
      </c>
      <c r="D433" t="s">
        <v>10</v>
      </c>
      <c r="E433" t="s">
        <v>623</v>
      </c>
      <c r="F433" t="s">
        <v>437</v>
      </c>
      <c r="G433" s="2">
        <v>1</v>
      </c>
      <c r="H433" s="2">
        <v>480</v>
      </c>
      <c r="I433" t="s">
        <v>34</v>
      </c>
      <c r="J433" s="9"/>
      <c r="K433" t="str">
        <f t="shared" si="6"/>
        <v>REGULAR</v>
      </c>
    </row>
    <row r="434" spans="1:11" hidden="1" x14ac:dyDescent="0.25">
      <c r="F434" t="s">
        <v>391</v>
      </c>
      <c r="G434" s="2">
        <v>1</v>
      </c>
      <c r="I434" t="s">
        <v>34</v>
      </c>
      <c r="J434" s="9"/>
      <c r="K434" t="str">
        <f t="shared" si="6"/>
        <v>REGULAR</v>
      </c>
    </row>
    <row r="435" spans="1:11" hidden="1" x14ac:dyDescent="0.25">
      <c r="A435" t="s">
        <v>1033</v>
      </c>
      <c r="B435" s="8">
        <v>45767</v>
      </c>
      <c r="C435" t="s">
        <v>724</v>
      </c>
      <c r="D435" t="s">
        <v>10</v>
      </c>
      <c r="E435" t="s">
        <v>623</v>
      </c>
      <c r="F435" t="s">
        <v>471</v>
      </c>
      <c r="G435" s="2">
        <v>1</v>
      </c>
      <c r="H435" s="2">
        <v>310</v>
      </c>
      <c r="I435" t="s">
        <v>34</v>
      </c>
      <c r="J435" s="9"/>
      <c r="K435" t="str">
        <f t="shared" si="6"/>
        <v>REGULAR</v>
      </c>
    </row>
    <row r="436" spans="1:11" hidden="1" x14ac:dyDescent="0.25">
      <c r="F436" t="s">
        <v>386</v>
      </c>
      <c r="G436" s="2">
        <v>1</v>
      </c>
      <c r="I436" t="s">
        <v>34</v>
      </c>
      <c r="J436" s="9"/>
      <c r="K436" t="str">
        <f t="shared" si="6"/>
        <v>REGULAR</v>
      </c>
    </row>
    <row r="437" spans="1:11" hidden="1" x14ac:dyDescent="0.25">
      <c r="A437" t="s">
        <v>1034</v>
      </c>
      <c r="B437" s="8">
        <v>45767</v>
      </c>
      <c r="C437" t="s">
        <v>724</v>
      </c>
      <c r="D437" t="s">
        <v>10</v>
      </c>
      <c r="E437" t="s">
        <v>623</v>
      </c>
      <c r="F437" t="s">
        <v>437</v>
      </c>
      <c r="G437" s="2">
        <v>1</v>
      </c>
      <c r="H437" s="2">
        <v>330</v>
      </c>
      <c r="I437" t="s">
        <v>34</v>
      </c>
      <c r="J437" s="9"/>
      <c r="K437" t="str">
        <f t="shared" si="6"/>
        <v>REGULAR</v>
      </c>
    </row>
    <row r="438" spans="1:11" hidden="1" x14ac:dyDescent="0.25">
      <c r="A438" t="s">
        <v>1035</v>
      </c>
      <c r="B438" s="8">
        <v>45767</v>
      </c>
      <c r="C438" t="s">
        <v>724</v>
      </c>
      <c r="D438" t="s">
        <v>10</v>
      </c>
      <c r="E438" t="s">
        <v>623</v>
      </c>
      <c r="F438" t="s">
        <v>437</v>
      </c>
      <c r="G438" s="2">
        <v>1</v>
      </c>
      <c r="H438" s="2">
        <v>330</v>
      </c>
      <c r="I438" t="s">
        <v>34</v>
      </c>
      <c r="J438" s="9"/>
      <c r="K438" t="str">
        <f t="shared" si="6"/>
        <v>REGULAR</v>
      </c>
    </row>
    <row r="439" spans="1:11" hidden="1" x14ac:dyDescent="0.25">
      <c r="A439" t="s">
        <v>1036</v>
      </c>
      <c r="B439" s="8">
        <v>45767</v>
      </c>
      <c r="C439" t="s">
        <v>724</v>
      </c>
      <c r="D439" t="s">
        <v>10</v>
      </c>
      <c r="E439" t="s">
        <v>623</v>
      </c>
      <c r="F439" t="s">
        <v>497</v>
      </c>
      <c r="G439" s="2">
        <v>2</v>
      </c>
      <c r="H439" s="2">
        <v>160</v>
      </c>
      <c r="I439" t="s">
        <v>11</v>
      </c>
      <c r="J439" s="9"/>
      <c r="K439" t="str">
        <f t="shared" si="6"/>
        <v>REGULAR</v>
      </c>
    </row>
    <row r="440" spans="1:11" hidden="1" x14ac:dyDescent="0.25">
      <c r="A440" t="s">
        <v>1037</v>
      </c>
      <c r="B440" s="8">
        <v>45767</v>
      </c>
      <c r="C440" t="s">
        <v>724</v>
      </c>
      <c r="D440" t="s">
        <v>10</v>
      </c>
      <c r="E440" t="s">
        <v>623</v>
      </c>
      <c r="F440" t="s">
        <v>672</v>
      </c>
      <c r="G440" s="2">
        <v>1</v>
      </c>
      <c r="H440" s="2">
        <v>190</v>
      </c>
      <c r="I440" t="s">
        <v>11</v>
      </c>
      <c r="J440" s="9"/>
      <c r="K440" t="str">
        <f t="shared" si="6"/>
        <v>REGULAR</v>
      </c>
    </row>
    <row r="441" spans="1:11" hidden="1" x14ac:dyDescent="0.25">
      <c r="A441" t="s">
        <v>1038</v>
      </c>
      <c r="B441" s="8">
        <v>45767</v>
      </c>
      <c r="C441" t="s">
        <v>724</v>
      </c>
      <c r="D441" t="s">
        <v>10</v>
      </c>
      <c r="E441" t="s">
        <v>623</v>
      </c>
      <c r="F441" t="s">
        <v>392</v>
      </c>
      <c r="G441" s="2">
        <v>1</v>
      </c>
      <c r="H441" s="2">
        <v>440</v>
      </c>
      <c r="I441" t="s">
        <v>34</v>
      </c>
      <c r="J441" s="9"/>
      <c r="K441" t="str">
        <f t="shared" si="6"/>
        <v>REGULAR</v>
      </c>
    </row>
    <row r="442" spans="1:11" hidden="1" x14ac:dyDescent="0.25">
      <c r="F442" t="s">
        <v>406</v>
      </c>
      <c r="G442" s="2">
        <v>1</v>
      </c>
      <c r="I442" t="s">
        <v>34</v>
      </c>
      <c r="J442" s="9"/>
      <c r="K442" t="str">
        <f t="shared" si="6"/>
        <v>REGULAR</v>
      </c>
    </row>
    <row r="443" spans="1:11" hidden="1" x14ac:dyDescent="0.25">
      <c r="F443" t="s">
        <v>471</v>
      </c>
      <c r="G443" s="2">
        <v>1</v>
      </c>
      <c r="I443" t="s">
        <v>34</v>
      </c>
      <c r="J443" s="9"/>
      <c r="K443" t="str">
        <f t="shared" si="6"/>
        <v>REGULAR</v>
      </c>
    </row>
    <row r="444" spans="1:11" hidden="1" x14ac:dyDescent="0.25">
      <c r="A444" t="s">
        <v>1039</v>
      </c>
      <c r="B444" s="8">
        <v>45767</v>
      </c>
      <c r="C444" t="s">
        <v>724</v>
      </c>
      <c r="D444" t="s">
        <v>10</v>
      </c>
      <c r="E444" t="s">
        <v>623</v>
      </c>
      <c r="F444" t="s">
        <v>437</v>
      </c>
      <c r="G444" s="2">
        <v>1</v>
      </c>
      <c r="H444" s="2">
        <v>330</v>
      </c>
      <c r="I444" t="s">
        <v>34</v>
      </c>
      <c r="J444" s="9"/>
      <c r="K444" t="str">
        <f t="shared" si="6"/>
        <v>REGULAR</v>
      </c>
    </row>
    <row r="445" spans="1:11" hidden="1" x14ac:dyDescent="0.25">
      <c r="A445" t="s">
        <v>1040</v>
      </c>
      <c r="B445" s="8">
        <v>45767</v>
      </c>
      <c r="C445" t="s">
        <v>724</v>
      </c>
      <c r="D445" t="s">
        <v>10</v>
      </c>
      <c r="E445" t="s">
        <v>623</v>
      </c>
      <c r="F445" t="s">
        <v>672</v>
      </c>
      <c r="G445" s="2">
        <v>1</v>
      </c>
      <c r="H445" s="2">
        <v>190</v>
      </c>
      <c r="I445" t="s">
        <v>11</v>
      </c>
      <c r="J445" s="9"/>
      <c r="K445" t="str">
        <f t="shared" si="6"/>
        <v>REGULAR</v>
      </c>
    </row>
    <row r="446" spans="1:11" x14ac:dyDescent="0.25">
      <c r="A446" t="s">
        <v>1041</v>
      </c>
      <c r="B446" s="8">
        <v>45768</v>
      </c>
      <c r="C446" t="s">
        <v>736</v>
      </c>
      <c r="D446" t="s">
        <v>10</v>
      </c>
      <c r="E446" t="s">
        <v>607</v>
      </c>
      <c r="F446" t="s">
        <v>926</v>
      </c>
      <c r="G446" s="2">
        <v>1</v>
      </c>
      <c r="H446" s="2">
        <v>129</v>
      </c>
      <c r="I446" t="s">
        <v>11</v>
      </c>
      <c r="J446" s="9"/>
      <c r="K446" t="str">
        <f t="shared" si="6"/>
        <v>SUBSCRIPTION</v>
      </c>
    </row>
    <row r="447" spans="1:11" x14ac:dyDescent="0.25">
      <c r="A447" t="s">
        <v>1042</v>
      </c>
      <c r="B447" s="8">
        <v>45768</v>
      </c>
      <c r="C447" t="s">
        <v>736</v>
      </c>
      <c r="D447" t="s">
        <v>10</v>
      </c>
      <c r="E447" t="s">
        <v>607</v>
      </c>
      <c r="F447" t="s">
        <v>765</v>
      </c>
      <c r="G447" s="2">
        <v>1</v>
      </c>
      <c r="H447" s="2">
        <v>117</v>
      </c>
      <c r="I447" t="s">
        <v>11</v>
      </c>
      <c r="J447" s="9"/>
      <c r="K447" t="str">
        <f t="shared" si="6"/>
        <v>SUBSCRIPTION</v>
      </c>
    </row>
    <row r="448" spans="1:11" x14ac:dyDescent="0.25">
      <c r="A448" t="s">
        <v>1043</v>
      </c>
      <c r="B448" s="8">
        <v>45768</v>
      </c>
      <c r="C448" t="s">
        <v>736</v>
      </c>
      <c r="D448" t="s">
        <v>21</v>
      </c>
      <c r="E448" t="s">
        <v>607</v>
      </c>
      <c r="F448" t="s">
        <v>759</v>
      </c>
      <c r="G448" s="2">
        <v>1</v>
      </c>
      <c r="H448" s="2">
        <v>99</v>
      </c>
      <c r="I448" t="s">
        <v>11</v>
      </c>
      <c r="J448" s="9"/>
      <c r="K448" t="str">
        <f t="shared" si="6"/>
        <v>SUBSCRIPTION</v>
      </c>
    </row>
    <row r="449" spans="1:11" x14ac:dyDescent="0.25">
      <c r="A449" t="s">
        <v>1044</v>
      </c>
      <c r="B449" s="8">
        <v>45768</v>
      </c>
      <c r="C449" t="s">
        <v>736</v>
      </c>
      <c r="D449" t="s">
        <v>18</v>
      </c>
      <c r="E449" t="s">
        <v>607</v>
      </c>
      <c r="F449" t="s">
        <v>756</v>
      </c>
      <c r="G449" s="2">
        <v>1</v>
      </c>
      <c r="H449" s="2">
        <v>79</v>
      </c>
      <c r="I449" t="s">
        <v>11</v>
      </c>
      <c r="J449" s="9"/>
      <c r="K449" t="str">
        <f t="shared" si="6"/>
        <v>SUBSCRIPTION</v>
      </c>
    </row>
    <row r="450" spans="1:11" x14ac:dyDescent="0.25">
      <c r="A450" t="s">
        <v>1045</v>
      </c>
      <c r="B450" s="8">
        <v>45768</v>
      </c>
      <c r="C450" t="s">
        <v>736</v>
      </c>
      <c r="D450" t="s">
        <v>18</v>
      </c>
      <c r="E450" t="s">
        <v>607</v>
      </c>
      <c r="F450" t="s">
        <v>756</v>
      </c>
      <c r="G450" s="2">
        <v>1</v>
      </c>
      <c r="H450" s="2">
        <v>79</v>
      </c>
      <c r="I450" t="s">
        <v>11</v>
      </c>
      <c r="J450" s="9"/>
      <c r="K450" t="str">
        <f t="shared" ref="K450:K513" si="7">IF(E450&lt;&gt;"", E450, K449)</f>
        <v>SUBSCRIPTION</v>
      </c>
    </row>
    <row r="451" spans="1:11" x14ac:dyDescent="0.25">
      <c r="A451" t="s">
        <v>1046</v>
      </c>
      <c r="B451" s="8">
        <v>45769</v>
      </c>
      <c r="C451" t="s">
        <v>606</v>
      </c>
      <c r="D451" t="s">
        <v>21</v>
      </c>
      <c r="E451" t="s">
        <v>607</v>
      </c>
      <c r="F451" t="s">
        <v>940</v>
      </c>
      <c r="G451" s="2">
        <v>1</v>
      </c>
      <c r="H451" s="2">
        <v>99</v>
      </c>
      <c r="I451" t="s">
        <v>11</v>
      </c>
      <c r="J451" s="9"/>
      <c r="K451" t="str">
        <f t="shared" si="7"/>
        <v>SUBSCRIPTION</v>
      </c>
    </row>
    <row r="452" spans="1:11" x14ac:dyDescent="0.25">
      <c r="A452" t="s">
        <v>1048</v>
      </c>
      <c r="B452" s="8">
        <v>45769</v>
      </c>
      <c r="C452" t="s">
        <v>606</v>
      </c>
      <c r="D452" t="s">
        <v>18</v>
      </c>
      <c r="E452" t="s">
        <v>607</v>
      </c>
      <c r="F452" t="s">
        <v>614</v>
      </c>
      <c r="G452" s="2">
        <v>1</v>
      </c>
      <c r="H452" s="2">
        <v>99</v>
      </c>
      <c r="I452" t="s">
        <v>11</v>
      </c>
      <c r="J452" s="9"/>
      <c r="K452" t="str">
        <f t="shared" si="7"/>
        <v>SUBSCRIPTION</v>
      </c>
    </row>
    <row r="453" spans="1:11" x14ac:dyDescent="0.25">
      <c r="A453" t="s">
        <v>1047</v>
      </c>
      <c r="B453" s="8">
        <v>45769</v>
      </c>
      <c r="C453" t="s">
        <v>606</v>
      </c>
      <c r="D453" t="s">
        <v>10</v>
      </c>
      <c r="E453" t="s">
        <v>607</v>
      </c>
      <c r="F453" t="s">
        <v>934</v>
      </c>
      <c r="G453" s="2">
        <v>1</v>
      </c>
      <c r="H453" s="2">
        <v>129</v>
      </c>
      <c r="I453" t="s">
        <v>11</v>
      </c>
      <c r="J453" s="9"/>
      <c r="K453" t="str">
        <f t="shared" si="7"/>
        <v>SUBSCRIPTION</v>
      </c>
    </row>
    <row r="454" spans="1:11" x14ac:dyDescent="0.25">
      <c r="A454" t="s">
        <v>1051</v>
      </c>
      <c r="B454" s="8">
        <v>45769</v>
      </c>
      <c r="C454" t="s">
        <v>606</v>
      </c>
      <c r="D454" t="s">
        <v>21</v>
      </c>
      <c r="E454" t="s">
        <v>607</v>
      </c>
      <c r="F454" t="s">
        <v>940</v>
      </c>
      <c r="G454" s="2">
        <v>1</v>
      </c>
      <c r="H454" s="2">
        <v>99</v>
      </c>
      <c r="I454" t="s">
        <v>11</v>
      </c>
      <c r="J454" s="9"/>
      <c r="K454" t="str">
        <f t="shared" si="7"/>
        <v>SUBSCRIPTION</v>
      </c>
    </row>
    <row r="455" spans="1:11" x14ac:dyDescent="0.25">
      <c r="A455" t="s">
        <v>1049</v>
      </c>
      <c r="B455" s="8">
        <v>45769</v>
      </c>
      <c r="C455" t="s">
        <v>606</v>
      </c>
      <c r="D455" t="s">
        <v>10</v>
      </c>
      <c r="E455" t="s">
        <v>607</v>
      </c>
      <c r="F455" t="s">
        <v>937</v>
      </c>
      <c r="G455" s="2">
        <v>1</v>
      </c>
      <c r="H455" s="2">
        <v>129</v>
      </c>
      <c r="I455" t="s">
        <v>34</v>
      </c>
      <c r="J455" s="9"/>
      <c r="K455" t="str">
        <f t="shared" si="7"/>
        <v>SUBSCRIPTION</v>
      </c>
    </row>
    <row r="456" spans="1:11" x14ac:dyDescent="0.25">
      <c r="A456" t="s">
        <v>1050</v>
      </c>
      <c r="B456" s="8">
        <v>45769</v>
      </c>
      <c r="C456" t="s">
        <v>606</v>
      </c>
      <c r="D456" t="s">
        <v>18</v>
      </c>
      <c r="E456" t="s">
        <v>607</v>
      </c>
      <c r="F456" t="s">
        <v>614</v>
      </c>
      <c r="G456" s="2">
        <v>1</v>
      </c>
      <c r="H456" s="2">
        <v>99</v>
      </c>
      <c r="I456" t="s">
        <v>11</v>
      </c>
      <c r="J456" s="9"/>
      <c r="K456" t="str">
        <f t="shared" si="7"/>
        <v>SUBSCRIPTION</v>
      </c>
    </row>
    <row r="457" spans="1:11" hidden="1" x14ac:dyDescent="0.25">
      <c r="A457" t="s">
        <v>1052</v>
      </c>
      <c r="B457" s="8">
        <v>45769</v>
      </c>
      <c r="C457" t="s">
        <v>606</v>
      </c>
      <c r="D457" t="s">
        <v>10</v>
      </c>
      <c r="E457" t="s">
        <v>623</v>
      </c>
      <c r="F457" t="s">
        <v>492</v>
      </c>
      <c r="G457" s="2">
        <v>1</v>
      </c>
      <c r="H457" s="2">
        <v>65</v>
      </c>
      <c r="I457" t="s">
        <v>11</v>
      </c>
      <c r="J457" s="9"/>
      <c r="K457" t="str">
        <f t="shared" si="7"/>
        <v>REGULAR</v>
      </c>
    </row>
    <row r="458" spans="1:11" hidden="1" x14ac:dyDescent="0.25">
      <c r="A458" t="s">
        <v>1053</v>
      </c>
      <c r="B458" s="8">
        <v>45769</v>
      </c>
      <c r="C458" t="s">
        <v>606</v>
      </c>
      <c r="D458" t="s">
        <v>10</v>
      </c>
      <c r="E458" t="s">
        <v>623</v>
      </c>
      <c r="F458" t="s">
        <v>646</v>
      </c>
      <c r="G458" s="2">
        <v>1</v>
      </c>
      <c r="H458" s="2">
        <v>140</v>
      </c>
      <c r="I458" t="s">
        <v>11</v>
      </c>
      <c r="J458" s="9"/>
      <c r="K458" t="str">
        <f t="shared" si="7"/>
        <v>REGULAR</v>
      </c>
    </row>
    <row r="459" spans="1:11" hidden="1" x14ac:dyDescent="0.25">
      <c r="A459" t="s">
        <v>1054</v>
      </c>
      <c r="B459" s="8">
        <v>45769</v>
      </c>
      <c r="C459" t="s">
        <v>606</v>
      </c>
      <c r="D459" t="s">
        <v>10</v>
      </c>
      <c r="E459" t="s">
        <v>623</v>
      </c>
      <c r="F459" t="s">
        <v>431</v>
      </c>
      <c r="G459" s="2">
        <v>1</v>
      </c>
      <c r="H459" s="2">
        <v>410</v>
      </c>
      <c r="I459" t="s">
        <v>34</v>
      </c>
      <c r="J459" s="9"/>
      <c r="K459" t="str">
        <f t="shared" si="7"/>
        <v>REGULAR</v>
      </c>
    </row>
    <row r="460" spans="1:11" hidden="1" x14ac:dyDescent="0.25">
      <c r="F460" t="s">
        <v>426</v>
      </c>
      <c r="G460" s="2">
        <v>1</v>
      </c>
      <c r="I460" t="s">
        <v>34</v>
      </c>
      <c r="J460" s="9"/>
      <c r="K460" t="str">
        <f t="shared" si="7"/>
        <v>REGULAR</v>
      </c>
    </row>
    <row r="461" spans="1:11" hidden="1" x14ac:dyDescent="0.25">
      <c r="F461" t="s">
        <v>391</v>
      </c>
      <c r="G461" s="2">
        <v>1</v>
      </c>
      <c r="I461" t="s">
        <v>34</v>
      </c>
      <c r="J461" s="9"/>
      <c r="K461" t="str">
        <f t="shared" si="7"/>
        <v>REGULAR</v>
      </c>
    </row>
    <row r="462" spans="1:11" hidden="1" x14ac:dyDescent="0.25">
      <c r="A462" t="s">
        <v>1055</v>
      </c>
      <c r="B462" s="8">
        <v>45769</v>
      </c>
      <c r="C462" t="s">
        <v>606</v>
      </c>
      <c r="D462" t="s">
        <v>10</v>
      </c>
      <c r="E462" t="s">
        <v>623</v>
      </c>
      <c r="F462" t="s">
        <v>426</v>
      </c>
      <c r="G462" s="2">
        <v>2</v>
      </c>
      <c r="H462" s="2">
        <v>260</v>
      </c>
      <c r="I462" t="s">
        <v>34</v>
      </c>
      <c r="J462" s="9"/>
      <c r="K462" t="str">
        <f t="shared" si="7"/>
        <v>REGULAR</v>
      </c>
    </row>
    <row r="463" spans="1:11" hidden="1" x14ac:dyDescent="0.25">
      <c r="A463" t="s">
        <v>1056</v>
      </c>
      <c r="B463" s="8">
        <v>45770</v>
      </c>
      <c r="C463" t="s">
        <v>632</v>
      </c>
      <c r="D463" t="s">
        <v>18</v>
      </c>
      <c r="E463" t="s">
        <v>623</v>
      </c>
      <c r="F463" t="s">
        <v>1057</v>
      </c>
      <c r="G463" s="2">
        <v>1</v>
      </c>
      <c r="H463" s="2">
        <v>110</v>
      </c>
      <c r="I463" t="s">
        <v>11</v>
      </c>
      <c r="J463" s="9"/>
      <c r="K463" t="str">
        <f t="shared" si="7"/>
        <v>REGULAR</v>
      </c>
    </row>
    <row r="464" spans="1:11" x14ac:dyDescent="0.25">
      <c r="A464" t="s">
        <v>1058</v>
      </c>
      <c r="B464" s="8">
        <v>45770</v>
      </c>
      <c r="C464" t="s">
        <v>632</v>
      </c>
      <c r="D464" t="s">
        <v>10</v>
      </c>
      <c r="E464" t="s">
        <v>607</v>
      </c>
      <c r="F464" t="s">
        <v>957</v>
      </c>
      <c r="G464" s="2">
        <v>1</v>
      </c>
      <c r="H464" s="2">
        <v>179</v>
      </c>
      <c r="I464" t="s">
        <v>34</v>
      </c>
      <c r="J464" s="9"/>
      <c r="K464" t="str">
        <f t="shared" si="7"/>
        <v>SUBSCRIPTION</v>
      </c>
    </row>
    <row r="465" spans="1:11" x14ac:dyDescent="0.25">
      <c r="A465" t="s">
        <v>1059</v>
      </c>
      <c r="B465" s="8">
        <v>45770</v>
      </c>
      <c r="C465" t="s">
        <v>632</v>
      </c>
      <c r="D465" t="s">
        <v>18</v>
      </c>
      <c r="E465" t="s">
        <v>607</v>
      </c>
      <c r="F465" t="s">
        <v>949</v>
      </c>
      <c r="G465" s="2">
        <v>1</v>
      </c>
      <c r="H465" s="2">
        <v>112</v>
      </c>
      <c r="I465" t="s">
        <v>34</v>
      </c>
      <c r="J465" s="9"/>
      <c r="K465" t="str">
        <f t="shared" si="7"/>
        <v>SUBSCRIPTION</v>
      </c>
    </row>
    <row r="466" spans="1:11" x14ac:dyDescent="0.25">
      <c r="A466" t="s">
        <v>1060</v>
      </c>
      <c r="B466" s="8">
        <v>45770</v>
      </c>
      <c r="C466" t="s">
        <v>632</v>
      </c>
      <c r="D466" t="s">
        <v>10</v>
      </c>
      <c r="E466" t="s">
        <v>607</v>
      </c>
      <c r="F466" t="s">
        <v>957</v>
      </c>
      <c r="G466" s="2">
        <v>1</v>
      </c>
      <c r="H466" s="2">
        <v>179</v>
      </c>
      <c r="I466" t="s">
        <v>34</v>
      </c>
      <c r="J466" s="9"/>
      <c r="K466" t="str">
        <f t="shared" si="7"/>
        <v>SUBSCRIPTION</v>
      </c>
    </row>
    <row r="467" spans="1:11" x14ac:dyDescent="0.25">
      <c r="A467" t="s">
        <v>1061</v>
      </c>
      <c r="B467" s="8">
        <v>45770</v>
      </c>
      <c r="C467" t="s">
        <v>632</v>
      </c>
      <c r="D467" t="s">
        <v>18</v>
      </c>
      <c r="E467" t="s">
        <v>607</v>
      </c>
      <c r="F467" t="s">
        <v>952</v>
      </c>
      <c r="G467" s="2">
        <v>1</v>
      </c>
      <c r="H467" s="2">
        <v>99</v>
      </c>
      <c r="I467" t="s">
        <v>34</v>
      </c>
      <c r="J467" s="9"/>
      <c r="K467" t="str">
        <f t="shared" si="7"/>
        <v>SUBSCRIPTION</v>
      </c>
    </row>
    <row r="468" spans="1:11" x14ac:dyDescent="0.25">
      <c r="A468" t="s">
        <v>1062</v>
      </c>
      <c r="B468" s="8">
        <v>45770</v>
      </c>
      <c r="C468" t="s">
        <v>632</v>
      </c>
      <c r="D468" t="s">
        <v>21</v>
      </c>
      <c r="E468" t="s">
        <v>607</v>
      </c>
      <c r="F468" t="s">
        <v>642</v>
      </c>
      <c r="G468" s="2">
        <v>1</v>
      </c>
      <c r="H468" s="2">
        <v>129</v>
      </c>
      <c r="I468" t="s">
        <v>34</v>
      </c>
      <c r="J468" s="9"/>
      <c r="K468" t="str">
        <f t="shared" si="7"/>
        <v>SUBSCRIPTION</v>
      </c>
    </row>
    <row r="469" spans="1:11" x14ac:dyDescent="0.25">
      <c r="A469" t="s">
        <v>1063</v>
      </c>
      <c r="B469" s="8">
        <v>45770</v>
      </c>
      <c r="C469" t="s">
        <v>632</v>
      </c>
      <c r="D469" t="s">
        <v>10</v>
      </c>
      <c r="E469" t="s">
        <v>607</v>
      </c>
      <c r="F469" t="s">
        <v>955</v>
      </c>
      <c r="G469" s="2">
        <v>1</v>
      </c>
      <c r="H469" s="2">
        <v>129</v>
      </c>
      <c r="I469" t="s">
        <v>11</v>
      </c>
      <c r="J469" s="9"/>
      <c r="K469" t="str">
        <f t="shared" si="7"/>
        <v>SUBSCRIPTION</v>
      </c>
    </row>
    <row r="470" spans="1:11" x14ac:dyDescent="0.25">
      <c r="A470" t="s">
        <v>1064</v>
      </c>
      <c r="B470" s="8">
        <v>45770</v>
      </c>
      <c r="C470" t="s">
        <v>632</v>
      </c>
      <c r="D470" t="s">
        <v>10</v>
      </c>
      <c r="E470" t="s">
        <v>607</v>
      </c>
      <c r="F470" t="s">
        <v>955</v>
      </c>
      <c r="G470" s="2">
        <v>1</v>
      </c>
      <c r="H470" s="2">
        <v>129</v>
      </c>
      <c r="I470" t="s">
        <v>11</v>
      </c>
      <c r="J470" s="9"/>
      <c r="K470" t="str">
        <f t="shared" si="7"/>
        <v>SUBSCRIPTION</v>
      </c>
    </row>
    <row r="471" spans="1:11" hidden="1" x14ac:dyDescent="0.25">
      <c r="A471" t="s">
        <v>1065</v>
      </c>
      <c r="B471" s="8">
        <v>45770</v>
      </c>
      <c r="C471" t="s">
        <v>632</v>
      </c>
      <c r="D471" t="s">
        <v>10</v>
      </c>
      <c r="E471" t="s">
        <v>623</v>
      </c>
      <c r="F471" t="s">
        <v>437</v>
      </c>
      <c r="G471" s="2">
        <v>1</v>
      </c>
      <c r="H471" s="2">
        <v>330</v>
      </c>
      <c r="I471" t="s">
        <v>34</v>
      </c>
      <c r="J471" s="9"/>
      <c r="K471" t="str">
        <f t="shared" si="7"/>
        <v>REGULAR</v>
      </c>
    </row>
    <row r="472" spans="1:11" hidden="1" x14ac:dyDescent="0.25">
      <c r="A472" t="s">
        <v>1066</v>
      </c>
      <c r="B472" s="8">
        <v>45770</v>
      </c>
      <c r="C472" t="s">
        <v>632</v>
      </c>
      <c r="D472" t="s">
        <v>10</v>
      </c>
      <c r="E472" t="s">
        <v>623</v>
      </c>
      <c r="F472" t="s">
        <v>395</v>
      </c>
      <c r="G472" s="2">
        <v>1</v>
      </c>
      <c r="H472" s="2">
        <v>240</v>
      </c>
      <c r="I472" t="s">
        <v>34</v>
      </c>
      <c r="J472" s="9"/>
      <c r="K472" t="str">
        <f t="shared" si="7"/>
        <v>REGULAR</v>
      </c>
    </row>
    <row r="473" spans="1:11" hidden="1" x14ac:dyDescent="0.25">
      <c r="F473" t="s">
        <v>667</v>
      </c>
      <c r="G473" s="2">
        <v>1</v>
      </c>
      <c r="I473" t="s">
        <v>11</v>
      </c>
      <c r="J473" s="9"/>
      <c r="K473" t="str">
        <f t="shared" si="7"/>
        <v>REGULAR</v>
      </c>
    </row>
    <row r="474" spans="1:11" hidden="1" x14ac:dyDescent="0.25">
      <c r="A474" t="s">
        <v>1067</v>
      </c>
      <c r="B474" s="8">
        <v>45770</v>
      </c>
      <c r="C474" t="s">
        <v>632</v>
      </c>
      <c r="D474" t="s">
        <v>10</v>
      </c>
      <c r="E474" t="s">
        <v>623</v>
      </c>
      <c r="F474" t="s">
        <v>733</v>
      </c>
      <c r="G474" s="2">
        <v>1</v>
      </c>
      <c r="H474" s="2">
        <v>180</v>
      </c>
      <c r="I474" t="s">
        <v>34</v>
      </c>
      <c r="J474" s="9"/>
      <c r="K474" t="str">
        <f t="shared" si="7"/>
        <v>REGULAR</v>
      </c>
    </row>
    <row r="475" spans="1:11" hidden="1" x14ac:dyDescent="0.25">
      <c r="A475" t="s">
        <v>1069</v>
      </c>
      <c r="B475" s="8">
        <v>45770</v>
      </c>
      <c r="C475" t="s">
        <v>632</v>
      </c>
      <c r="D475" t="s">
        <v>10</v>
      </c>
      <c r="E475" t="s">
        <v>623</v>
      </c>
      <c r="F475" t="s">
        <v>1068</v>
      </c>
      <c r="G475" s="2">
        <v>1</v>
      </c>
      <c r="H475" s="2">
        <v>440</v>
      </c>
      <c r="I475" t="s">
        <v>34</v>
      </c>
      <c r="J475" s="9"/>
      <c r="K475" t="str">
        <f t="shared" si="7"/>
        <v>REGULAR</v>
      </c>
    </row>
    <row r="476" spans="1:11" hidden="1" x14ac:dyDescent="0.25">
      <c r="F476" t="s">
        <v>438</v>
      </c>
      <c r="G476" s="2">
        <v>1</v>
      </c>
      <c r="I476" t="s">
        <v>34</v>
      </c>
      <c r="J476" s="9"/>
      <c r="K476" t="str">
        <f t="shared" si="7"/>
        <v>REGULAR</v>
      </c>
    </row>
    <row r="477" spans="1:11" x14ac:dyDescent="0.25">
      <c r="A477" t="s">
        <v>1070</v>
      </c>
      <c r="B477" s="8">
        <v>45771</v>
      </c>
      <c r="C477" t="s">
        <v>648</v>
      </c>
      <c r="D477" t="s">
        <v>18</v>
      </c>
      <c r="E477" t="s">
        <v>607</v>
      </c>
      <c r="F477" t="s">
        <v>658</v>
      </c>
      <c r="G477" s="2">
        <v>1</v>
      </c>
      <c r="H477" s="2">
        <v>149</v>
      </c>
      <c r="I477" t="s">
        <v>34</v>
      </c>
      <c r="J477" s="9"/>
      <c r="K477" t="str">
        <f t="shared" si="7"/>
        <v>SUBSCRIPTION</v>
      </c>
    </row>
    <row r="478" spans="1:11" x14ac:dyDescent="0.25">
      <c r="A478" t="s">
        <v>1071</v>
      </c>
      <c r="B478" s="8">
        <v>45771</v>
      </c>
      <c r="C478" t="s">
        <v>648</v>
      </c>
      <c r="D478" t="s">
        <v>10</v>
      </c>
      <c r="E478" t="s">
        <v>607</v>
      </c>
      <c r="F478" t="s">
        <v>978</v>
      </c>
      <c r="G478" s="2">
        <v>1</v>
      </c>
      <c r="H478" s="2">
        <v>129</v>
      </c>
      <c r="I478" t="s">
        <v>11</v>
      </c>
      <c r="J478" s="9"/>
      <c r="K478" t="str">
        <f t="shared" si="7"/>
        <v>SUBSCRIPTION</v>
      </c>
    </row>
    <row r="479" spans="1:11" x14ac:dyDescent="0.25">
      <c r="A479" t="s">
        <v>1072</v>
      </c>
      <c r="B479" s="8">
        <v>45771</v>
      </c>
      <c r="C479" t="s">
        <v>648</v>
      </c>
      <c r="D479" t="s">
        <v>10</v>
      </c>
      <c r="E479" t="s">
        <v>607</v>
      </c>
      <c r="F479" t="s">
        <v>820</v>
      </c>
      <c r="G479" s="2">
        <v>1</v>
      </c>
      <c r="H479" s="2">
        <v>99</v>
      </c>
      <c r="I479" t="s">
        <v>34</v>
      </c>
      <c r="J479" s="9"/>
      <c r="K479" t="str">
        <f t="shared" si="7"/>
        <v>SUBSCRIPTION</v>
      </c>
    </row>
    <row r="480" spans="1:11" x14ac:dyDescent="0.25">
      <c r="A480" t="s">
        <v>1073</v>
      </c>
      <c r="B480" s="8">
        <v>45771</v>
      </c>
      <c r="C480" t="s">
        <v>648</v>
      </c>
      <c r="D480" t="s">
        <v>21</v>
      </c>
      <c r="E480" t="s">
        <v>607</v>
      </c>
      <c r="F480" t="s">
        <v>1337</v>
      </c>
      <c r="G480" s="2">
        <v>1</v>
      </c>
      <c r="H480" s="2">
        <v>117</v>
      </c>
      <c r="I480" t="s">
        <v>34</v>
      </c>
      <c r="J480" s="9"/>
      <c r="K480" t="str">
        <f t="shared" si="7"/>
        <v>SUBSCRIPTION</v>
      </c>
    </row>
    <row r="481" spans="1:11" x14ac:dyDescent="0.25">
      <c r="A481" t="s">
        <v>1074</v>
      </c>
      <c r="B481" s="8">
        <v>45771</v>
      </c>
      <c r="C481" t="s">
        <v>648</v>
      </c>
      <c r="D481" t="s">
        <v>18</v>
      </c>
      <c r="E481" t="s">
        <v>607</v>
      </c>
      <c r="F481" t="s">
        <v>658</v>
      </c>
      <c r="G481" s="2">
        <v>1</v>
      </c>
      <c r="H481" s="2">
        <v>149</v>
      </c>
      <c r="I481" t="s">
        <v>34</v>
      </c>
      <c r="J481" s="9"/>
      <c r="K481" t="str">
        <f t="shared" si="7"/>
        <v>SUBSCRIPTION</v>
      </c>
    </row>
    <row r="482" spans="1:11" x14ac:dyDescent="0.25">
      <c r="A482" t="s">
        <v>1075</v>
      </c>
      <c r="B482" s="8">
        <v>45771</v>
      </c>
      <c r="C482" t="s">
        <v>648</v>
      </c>
      <c r="D482" t="s">
        <v>10</v>
      </c>
      <c r="E482" t="s">
        <v>607</v>
      </c>
      <c r="F482" t="s">
        <v>978</v>
      </c>
      <c r="G482" s="2">
        <v>1</v>
      </c>
      <c r="H482" s="2">
        <v>129</v>
      </c>
      <c r="I482" t="s">
        <v>11</v>
      </c>
      <c r="J482" s="9"/>
      <c r="K482" t="str">
        <f t="shared" si="7"/>
        <v>SUBSCRIPTION</v>
      </c>
    </row>
    <row r="483" spans="1:11" hidden="1" x14ac:dyDescent="0.25">
      <c r="A483" t="s">
        <v>1076</v>
      </c>
      <c r="B483" s="8">
        <v>45771</v>
      </c>
      <c r="C483" t="s">
        <v>648</v>
      </c>
      <c r="D483" t="s">
        <v>10</v>
      </c>
      <c r="E483" t="s">
        <v>623</v>
      </c>
      <c r="F483" t="s">
        <v>386</v>
      </c>
      <c r="G483" s="2">
        <v>1</v>
      </c>
      <c r="H483" s="2">
        <v>140</v>
      </c>
      <c r="I483" t="s">
        <v>34</v>
      </c>
      <c r="J483" s="9"/>
      <c r="K483" t="str">
        <f t="shared" si="7"/>
        <v>REGULAR</v>
      </c>
    </row>
    <row r="484" spans="1:11" hidden="1" x14ac:dyDescent="0.25">
      <c r="A484" t="s">
        <v>1077</v>
      </c>
      <c r="B484" s="8">
        <v>45771</v>
      </c>
      <c r="C484" t="s">
        <v>648</v>
      </c>
      <c r="D484" t="s">
        <v>10</v>
      </c>
      <c r="E484" t="s">
        <v>623</v>
      </c>
      <c r="F484" t="s">
        <v>699</v>
      </c>
      <c r="G484" s="2">
        <v>2</v>
      </c>
      <c r="H484" s="2">
        <v>260</v>
      </c>
      <c r="I484" t="s">
        <v>11</v>
      </c>
      <c r="J484" s="9"/>
      <c r="K484" t="str">
        <f t="shared" si="7"/>
        <v>REGULAR</v>
      </c>
    </row>
    <row r="485" spans="1:11" hidden="1" x14ac:dyDescent="0.25">
      <c r="F485" t="s">
        <v>404</v>
      </c>
      <c r="G485" s="2">
        <v>2</v>
      </c>
      <c r="I485" t="s">
        <v>34</v>
      </c>
      <c r="J485" s="9"/>
      <c r="K485" t="str">
        <f t="shared" si="7"/>
        <v>REGULAR</v>
      </c>
    </row>
    <row r="486" spans="1:11" hidden="1" x14ac:dyDescent="0.25">
      <c r="A486" t="s">
        <v>1078</v>
      </c>
      <c r="B486" s="8">
        <v>45771</v>
      </c>
      <c r="C486" t="s">
        <v>648</v>
      </c>
      <c r="D486" t="s">
        <v>10</v>
      </c>
      <c r="E486" t="s">
        <v>623</v>
      </c>
      <c r="F486" t="s">
        <v>469</v>
      </c>
      <c r="G486" s="2">
        <v>1</v>
      </c>
      <c r="H486" s="2">
        <v>170</v>
      </c>
      <c r="I486" t="s">
        <v>34</v>
      </c>
      <c r="J486" s="9"/>
      <c r="K486" t="str">
        <f t="shared" si="7"/>
        <v>REGULAR</v>
      </c>
    </row>
    <row r="487" spans="1:11" hidden="1" x14ac:dyDescent="0.25">
      <c r="A487" t="s">
        <v>1079</v>
      </c>
      <c r="B487" s="8">
        <v>45771</v>
      </c>
      <c r="C487" t="s">
        <v>648</v>
      </c>
      <c r="D487" t="s">
        <v>10</v>
      </c>
      <c r="E487" t="s">
        <v>623</v>
      </c>
      <c r="F487" t="s">
        <v>733</v>
      </c>
      <c r="G487" s="2">
        <v>1</v>
      </c>
      <c r="H487" s="2">
        <v>180</v>
      </c>
      <c r="I487" t="s">
        <v>34</v>
      </c>
      <c r="J487" s="9"/>
      <c r="K487" t="str">
        <f t="shared" si="7"/>
        <v>REGULAR</v>
      </c>
    </row>
    <row r="488" spans="1:11" hidden="1" x14ac:dyDescent="0.25">
      <c r="A488" t="s">
        <v>1081</v>
      </c>
      <c r="B488" s="8">
        <v>45771</v>
      </c>
      <c r="C488" t="s">
        <v>648</v>
      </c>
      <c r="D488" t="s">
        <v>10</v>
      </c>
      <c r="E488" t="s">
        <v>623</v>
      </c>
      <c r="F488" t="s">
        <v>699</v>
      </c>
      <c r="G488" s="2">
        <v>1</v>
      </c>
      <c r="H488" s="2">
        <v>290</v>
      </c>
      <c r="I488" t="s">
        <v>11</v>
      </c>
      <c r="J488" s="9"/>
      <c r="K488" t="str">
        <f t="shared" si="7"/>
        <v>REGULAR</v>
      </c>
    </row>
    <row r="489" spans="1:11" hidden="1" x14ac:dyDescent="0.25">
      <c r="F489" t="s">
        <v>395</v>
      </c>
      <c r="G489" s="2">
        <v>1</v>
      </c>
      <c r="I489" t="s">
        <v>34</v>
      </c>
      <c r="J489" s="9"/>
      <c r="K489" t="str">
        <f t="shared" si="7"/>
        <v>REGULAR</v>
      </c>
    </row>
    <row r="490" spans="1:11" hidden="1" x14ac:dyDescent="0.25">
      <c r="F490" t="s">
        <v>404</v>
      </c>
      <c r="G490" s="2">
        <v>1</v>
      </c>
      <c r="I490" t="s">
        <v>34</v>
      </c>
      <c r="J490" s="9"/>
      <c r="K490" t="str">
        <f t="shared" si="7"/>
        <v>REGULAR</v>
      </c>
    </row>
    <row r="491" spans="1:11" hidden="1" x14ac:dyDescent="0.25">
      <c r="A491" t="s">
        <v>1080</v>
      </c>
      <c r="B491" s="8">
        <v>45771</v>
      </c>
      <c r="C491" t="s">
        <v>648</v>
      </c>
      <c r="D491" t="s">
        <v>10</v>
      </c>
      <c r="E491" t="s">
        <v>623</v>
      </c>
      <c r="F491" t="s">
        <v>428</v>
      </c>
      <c r="G491" s="2">
        <v>1</v>
      </c>
      <c r="H491" s="2">
        <v>350</v>
      </c>
      <c r="I491" t="s">
        <v>11</v>
      </c>
      <c r="J491" s="9"/>
      <c r="K491" t="str">
        <f t="shared" si="7"/>
        <v>REGULAR</v>
      </c>
    </row>
    <row r="492" spans="1:11" hidden="1" x14ac:dyDescent="0.25">
      <c r="F492" t="s">
        <v>405</v>
      </c>
      <c r="G492" s="2">
        <v>1</v>
      </c>
      <c r="I492" t="s">
        <v>34</v>
      </c>
      <c r="J492" s="9"/>
      <c r="K492" t="str">
        <f t="shared" si="7"/>
        <v>REGULAR</v>
      </c>
    </row>
    <row r="493" spans="1:11" hidden="1" x14ac:dyDescent="0.25">
      <c r="F493" t="s">
        <v>391</v>
      </c>
      <c r="G493" s="2">
        <v>1</v>
      </c>
      <c r="I493" t="s">
        <v>34</v>
      </c>
      <c r="J493" s="9"/>
      <c r="K493" t="str">
        <f t="shared" si="7"/>
        <v>REGULAR</v>
      </c>
    </row>
    <row r="494" spans="1:11" hidden="1" x14ac:dyDescent="0.25">
      <c r="A494" t="s">
        <v>1082</v>
      </c>
      <c r="B494" s="8">
        <v>45771</v>
      </c>
      <c r="C494" t="s">
        <v>648</v>
      </c>
      <c r="D494" t="s">
        <v>10</v>
      </c>
      <c r="E494" t="s">
        <v>623</v>
      </c>
      <c r="F494" t="s">
        <v>438</v>
      </c>
      <c r="G494" s="2">
        <v>1</v>
      </c>
      <c r="H494" s="2">
        <v>280</v>
      </c>
      <c r="I494" t="s">
        <v>34</v>
      </c>
      <c r="J494" s="9"/>
      <c r="K494" t="str">
        <f t="shared" si="7"/>
        <v>REGULAR</v>
      </c>
    </row>
    <row r="495" spans="1:11" x14ac:dyDescent="0.25">
      <c r="A495" t="s">
        <v>1083</v>
      </c>
      <c r="B495" s="8">
        <v>45772</v>
      </c>
      <c r="C495" t="s">
        <v>678</v>
      </c>
      <c r="D495" t="s">
        <v>21</v>
      </c>
      <c r="E495" t="s">
        <v>607</v>
      </c>
      <c r="F495" t="s">
        <v>680</v>
      </c>
      <c r="G495" s="2">
        <v>1</v>
      </c>
      <c r="H495" s="2">
        <v>99</v>
      </c>
      <c r="I495" t="s">
        <v>11</v>
      </c>
      <c r="J495" s="9"/>
      <c r="K495" t="str">
        <f t="shared" si="7"/>
        <v>SUBSCRIPTION</v>
      </c>
    </row>
    <row r="496" spans="1:11" x14ac:dyDescent="0.25">
      <c r="A496" t="s">
        <v>1085</v>
      </c>
      <c r="B496" s="8">
        <v>45772</v>
      </c>
      <c r="C496" t="s">
        <v>678</v>
      </c>
      <c r="D496" t="s">
        <v>10</v>
      </c>
      <c r="E496" t="s">
        <v>607</v>
      </c>
      <c r="F496" t="s">
        <v>988</v>
      </c>
      <c r="G496" s="2">
        <v>1</v>
      </c>
      <c r="H496" s="2">
        <v>129</v>
      </c>
      <c r="I496" t="s">
        <v>34</v>
      </c>
      <c r="J496" s="9"/>
      <c r="K496" t="str">
        <f t="shared" si="7"/>
        <v>SUBSCRIPTION</v>
      </c>
    </row>
    <row r="497" spans="1:11" x14ac:dyDescent="0.25">
      <c r="A497" t="s">
        <v>1086</v>
      </c>
      <c r="B497" s="8">
        <v>45772</v>
      </c>
      <c r="C497" t="s">
        <v>678</v>
      </c>
      <c r="D497" t="s">
        <v>18</v>
      </c>
      <c r="E497" t="s">
        <v>607</v>
      </c>
      <c r="F497" t="s">
        <v>1084</v>
      </c>
      <c r="G497" s="2">
        <v>1</v>
      </c>
      <c r="H497" s="2">
        <v>129</v>
      </c>
      <c r="I497" t="s">
        <v>34</v>
      </c>
      <c r="J497" s="9"/>
      <c r="K497" t="str">
        <f t="shared" si="7"/>
        <v>SUBSCRIPTION</v>
      </c>
    </row>
    <row r="498" spans="1:11" x14ac:dyDescent="0.25">
      <c r="A498" t="s">
        <v>1087</v>
      </c>
      <c r="B498" s="8">
        <v>45772</v>
      </c>
      <c r="C498" t="s">
        <v>678</v>
      </c>
      <c r="D498" t="s">
        <v>18</v>
      </c>
      <c r="E498" t="s">
        <v>607</v>
      </c>
      <c r="F498" t="s">
        <v>993</v>
      </c>
      <c r="G498" s="2">
        <v>1</v>
      </c>
      <c r="H498" s="2">
        <v>99</v>
      </c>
      <c r="I498" t="s">
        <v>11</v>
      </c>
      <c r="J498" s="9"/>
      <c r="K498" t="str">
        <f t="shared" si="7"/>
        <v>SUBSCRIPTION</v>
      </c>
    </row>
    <row r="499" spans="1:11" x14ac:dyDescent="0.25">
      <c r="A499" t="s">
        <v>1088</v>
      </c>
      <c r="B499" s="8">
        <v>45772</v>
      </c>
      <c r="C499" t="s">
        <v>678</v>
      </c>
      <c r="D499" t="s">
        <v>10</v>
      </c>
      <c r="E499" t="s">
        <v>607</v>
      </c>
      <c r="F499" t="s">
        <v>988</v>
      </c>
      <c r="G499" s="2">
        <v>1</v>
      </c>
      <c r="H499" s="2">
        <v>129</v>
      </c>
      <c r="I499" t="s">
        <v>34</v>
      </c>
      <c r="J499" s="9"/>
      <c r="K499" t="str">
        <f t="shared" si="7"/>
        <v>SUBSCRIPTION</v>
      </c>
    </row>
    <row r="500" spans="1:11" x14ac:dyDescent="0.25">
      <c r="A500" t="s">
        <v>1089</v>
      </c>
      <c r="B500" s="8">
        <v>45772</v>
      </c>
      <c r="C500" t="s">
        <v>678</v>
      </c>
      <c r="D500" t="s">
        <v>18</v>
      </c>
      <c r="E500" t="s">
        <v>607</v>
      </c>
      <c r="F500" t="s">
        <v>993</v>
      </c>
      <c r="G500" s="2">
        <v>1</v>
      </c>
      <c r="H500" s="2">
        <v>99</v>
      </c>
      <c r="I500" t="s">
        <v>11</v>
      </c>
      <c r="J500" s="9"/>
      <c r="K500" t="str">
        <f t="shared" si="7"/>
        <v>SUBSCRIPTION</v>
      </c>
    </row>
    <row r="501" spans="1:11" hidden="1" x14ac:dyDescent="0.25">
      <c r="A501" t="s">
        <v>1090</v>
      </c>
      <c r="B501" s="8">
        <v>45772</v>
      </c>
      <c r="C501" t="s">
        <v>678</v>
      </c>
      <c r="D501" t="s">
        <v>10</v>
      </c>
      <c r="E501" t="s">
        <v>623</v>
      </c>
      <c r="F501" t="s">
        <v>672</v>
      </c>
      <c r="G501" s="2">
        <v>1</v>
      </c>
      <c r="H501" s="2">
        <v>190</v>
      </c>
      <c r="I501" t="s">
        <v>11</v>
      </c>
      <c r="J501" s="9"/>
      <c r="K501" t="str">
        <f t="shared" si="7"/>
        <v>REGULAR</v>
      </c>
    </row>
    <row r="502" spans="1:11" x14ac:dyDescent="0.25">
      <c r="A502" t="s">
        <v>1091</v>
      </c>
      <c r="B502" s="8">
        <v>45773</v>
      </c>
      <c r="C502" t="s">
        <v>703</v>
      </c>
      <c r="D502" t="s">
        <v>10</v>
      </c>
      <c r="E502" t="s">
        <v>607</v>
      </c>
      <c r="F502" t="s">
        <v>891</v>
      </c>
      <c r="G502" s="2">
        <v>1</v>
      </c>
      <c r="H502" s="2">
        <v>149</v>
      </c>
      <c r="I502" t="s">
        <v>34</v>
      </c>
      <c r="J502" s="9"/>
      <c r="K502" t="str">
        <f t="shared" si="7"/>
        <v>SUBSCRIPTION</v>
      </c>
    </row>
    <row r="503" spans="1:11" x14ac:dyDescent="0.25">
      <c r="A503" t="s">
        <v>1092</v>
      </c>
      <c r="B503" s="8">
        <v>45773</v>
      </c>
      <c r="C503" t="s">
        <v>703</v>
      </c>
      <c r="D503" t="s">
        <v>10</v>
      </c>
      <c r="E503" t="s">
        <v>607</v>
      </c>
      <c r="F503" t="s">
        <v>891</v>
      </c>
      <c r="G503" s="2">
        <v>1</v>
      </c>
      <c r="H503" s="2">
        <v>149</v>
      </c>
      <c r="I503" t="s">
        <v>34</v>
      </c>
      <c r="J503" s="9"/>
      <c r="K503" t="str">
        <f t="shared" si="7"/>
        <v>SUBSCRIPTION</v>
      </c>
    </row>
    <row r="504" spans="1:11" x14ac:dyDescent="0.25">
      <c r="A504" t="s">
        <v>1094</v>
      </c>
      <c r="B504" s="8">
        <v>45773</v>
      </c>
      <c r="C504" t="s">
        <v>703</v>
      </c>
      <c r="D504" t="s">
        <v>21</v>
      </c>
      <c r="E504" t="s">
        <v>607</v>
      </c>
      <c r="F504" t="s">
        <v>1009</v>
      </c>
      <c r="G504" s="2">
        <v>1</v>
      </c>
      <c r="H504" s="2">
        <v>79</v>
      </c>
      <c r="I504" t="s">
        <v>11</v>
      </c>
      <c r="J504" s="9"/>
      <c r="K504" t="str">
        <f t="shared" si="7"/>
        <v>SUBSCRIPTION</v>
      </c>
    </row>
    <row r="505" spans="1:11" x14ac:dyDescent="0.25">
      <c r="A505" t="s">
        <v>1095</v>
      </c>
      <c r="B505" s="8">
        <v>45773</v>
      </c>
      <c r="C505" t="s">
        <v>703</v>
      </c>
      <c r="D505" t="s">
        <v>18</v>
      </c>
      <c r="E505" t="s">
        <v>607</v>
      </c>
      <c r="F505" t="s">
        <v>1093</v>
      </c>
      <c r="G505" s="2">
        <v>1</v>
      </c>
      <c r="H505" s="2">
        <v>149</v>
      </c>
      <c r="I505" t="s">
        <v>34</v>
      </c>
      <c r="J505" s="9"/>
      <c r="K505" t="str">
        <f t="shared" si="7"/>
        <v>SUBSCRIPTION</v>
      </c>
    </row>
    <row r="506" spans="1:11" x14ac:dyDescent="0.25">
      <c r="A506" t="s">
        <v>1096</v>
      </c>
      <c r="B506" s="8">
        <v>45773</v>
      </c>
      <c r="C506" t="s">
        <v>703</v>
      </c>
      <c r="D506" t="s">
        <v>18</v>
      </c>
      <c r="E506" t="s">
        <v>607</v>
      </c>
      <c r="F506" t="s">
        <v>886</v>
      </c>
      <c r="G506" s="2">
        <v>1</v>
      </c>
      <c r="H506" s="2">
        <v>79</v>
      </c>
      <c r="I506" t="s">
        <v>11</v>
      </c>
      <c r="J506" s="9"/>
      <c r="K506" t="str">
        <f t="shared" si="7"/>
        <v>SUBSCRIPTION</v>
      </c>
    </row>
    <row r="507" spans="1:11" x14ac:dyDescent="0.25">
      <c r="A507" t="s">
        <v>1097</v>
      </c>
      <c r="B507" s="8">
        <v>45773</v>
      </c>
      <c r="C507" t="s">
        <v>703</v>
      </c>
      <c r="D507" t="s">
        <v>10</v>
      </c>
      <c r="E507" t="s">
        <v>607</v>
      </c>
      <c r="F507" t="s">
        <v>896</v>
      </c>
      <c r="G507" s="2">
        <v>1</v>
      </c>
      <c r="H507" s="2">
        <v>129</v>
      </c>
      <c r="I507" t="s">
        <v>11</v>
      </c>
      <c r="J507" s="9"/>
      <c r="K507" t="str">
        <f t="shared" si="7"/>
        <v>SUBSCRIPTION</v>
      </c>
    </row>
    <row r="508" spans="1:11" x14ac:dyDescent="0.25">
      <c r="A508" t="s">
        <v>1098</v>
      </c>
      <c r="B508" s="8">
        <v>45773</v>
      </c>
      <c r="C508" t="s">
        <v>703</v>
      </c>
      <c r="D508" t="s">
        <v>10</v>
      </c>
      <c r="E508" t="s">
        <v>607</v>
      </c>
      <c r="F508" t="s">
        <v>896</v>
      </c>
      <c r="G508" s="2">
        <v>1</v>
      </c>
      <c r="H508" s="2">
        <v>129</v>
      </c>
      <c r="I508" t="s">
        <v>11</v>
      </c>
      <c r="J508" s="9"/>
      <c r="K508" t="str">
        <f t="shared" si="7"/>
        <v>SUBSCRIPTION</v>
      </c>
    </row>
    <row r="509" spans="1:11" hidden="1" x14ac:dyDescent="0.25">
      <c r="A509" t="s">
        <v>1099</v>
      </c>
      <c r="B509" s="8">
        <v>45773</v>
      </c>
      <c r="C509" t="s">
        <v>703</v>
      </c>
      <c r="D509" t="s">
        <v>10</v>
      </c>
      <c r="E509" t="s">
        <v>623</v>
      </c>
      <c r="F509" t="s">
        <v>488</v>
      </c>
      <c r="G509" s="2">
        <v>1</v>
      </c>
      <c r="H509" s="2">
        <v>270</v>
      </c>
      <c r="I509" t="s">
        <v>11</v>
      </c>
      <c r="J509" s="9"/>
      <c r="K509" t="str">
        <f t="shared" si="7"/>
        <v>REGULAR</v>
      </c>
    </row>
    <row r="510" spans="1:11" hidden="1" x14ac:dyDescent="0.25">
      <c r="F510" t="s">
        <v>789</v>
      </c>
      <c r="G510" s="2">
        <v>1</v>
      </c>
      <c r="I510" t="s">
        <v>11</v>
      </c>
      <c r="J510" s="9"/>
      <c r="K510" t="str">
        <f t="shared" si="7"/>
        <v>REGULAR</v>
      </c>
    </row>
    <row r="511" spans="1:11" hidden="1" x14ac:dyDescent="0.25">
      <c r="F511" t="s">
        <v>428</v>
      </c>
      <c r="G511" s="2">
        <v>1</v>
      </c>
      <c r="I511" t="s">
        <v>11</v>
      </c>
      <c r="J511" s="9"/>
      <c r="K511" t="str">
        <f t="shared" si="7"/>
        <v>REGULAR</v>
      </c>
    </row>
    <row r="512" spans="1:11" hidden="1" x14ac:dyDescent="0.25">
      <c r="A512" t="s">
        <v>1100</v>
      </c>
      <c r="B512" s="8">
        <v>45773</v>
      </c>
      <c r="C512" t="s">
        <v>703</v>
      </c>
      <c r="D512" t="s">
        <v>10</v>
      </c>
      <c r="E512" t="s">
        <v>623</v>
      </c>
      <c r="F512" t="s">
        <v>431</v>
      </c>
      <c r="G512" s="2">
        <v>1</v>
      </c>
      <c r="H512" s="2">
        <v>460</v>
      </c>
      <c r="I512" t="s">
        <v>34</v>
      </c>
      <c r="J512" s="9"/>
      <c r="K512" t="str">
        <f t="shared" si="7"/>
        <v>REGULAR</v>
      </c>
    </row>
    <row r="513" spans="1:11" hidden="1" x14ac:dyDescent="0.25">
      <c r="F513" t="s">
        <v>386</v>
      </c>
      <c r="G513" s="2">
        <v>1</v>
      </c>
      <c r="I513" t="s">
        <v>34</v>
      </c>
      <c r="J513" s="9"/>
      <c r="K513" t="str">
        <f t="shared" si="7"/>
        <v>REGULAR</v>
      </c>
    </row>
    <row r="514" spans="1:11" hidden="1" x14ac:dyDescent="0.25">
      <c r="F514" t="s">
        <v>392</v>
      </c>
      <c r="G514" s="2">
        <v>1</v>
      </c>
      <c r="I514" t="s">
        <v>34</v>
      </c>
      <c r="J514" s="9"/>
      <c r="K514" t="str">
        <f t="shared" ref="K514:K577" si="8">IF(E514&lt;&gt;"", E514, K513)</f>
        <v>REGULAR</v>
      </c>
    </row>
    <row r="515" spans="1:11" hidden="1" x14ac:dyDescent="0.25">
      <c r="A515" t="s">
        <v>1101</v>
      </c>
      <c r="B515" s="8">
        <v>45773</v>
      </c>
      <c r="C515" t="s">
        <v>703</v>
      </c>
      <c r="D515" t="s">
        <v>10</v>
      </c>
      <c r="E515" t="s">
        <v>623</v>
      </c>
      <c r="F515" t="s">
        <v>789</v>
      </c>
      <c r="G515" s="2">
        <v>1</v>
      </c>
      <c r="H515" s="2">
        <v>475</v>
      </c>
      <c r="I515" t="s">
        <v>11</v>
      </c>
      <c r="J515" s="9"/>
      <c r="K515" t="str">
        <f t="shared" si="8"/>
        <v>REGULAR</v>
      </c>
    </row>
    <row r="516" spans="1:11" hidden="1" x14ac:dyDescent="0.25">
      <c r="F516" t="s">
        <v>492</v>
      </c>
      <c r="G516" s="2">
        <v>1</v>
      </c>
      <c r="I516" t="s">
        <v>11</v>
      </c>
      <c r="J516" s="9"/>
      <c r="K516" t="str">
        <f t="shared" si="8"/>
        <v>REGULAR</v>
      </c>
    </row>
    <row r="517" spans="1:11" hidden="1" x14ac:dyDescent="0.25">
      <c r="F517" t="s">
        <v>945</v>
      </c>
      <c r="G517" s="2">
        <v>1</v>
      </c>
      <c r="I517" t="s">
        <v>34</v>
      </c>
      <c r="J517" s="9"/>
      <c r="K517" t="str">
        <f t="shared" si="8"/>
        <v>REGULAR</v>
      </c>
    </row>
    <row r="518" spans="1:11" hidden="1" x14ac:dyDescent="0.25">
      <c r="F518" t="s">
        <v>667</v>
      </c>
      <c r="G518" s="2">
        <v>2</v>
      </c>
      <c r="I518" t="s">
        <v>11</v>
      </c>
      <c r="J518" s="9"/>
      <c r="K518" t="str">
        <f t="shared" si="8"/>
        <v>REGULAR</v>
      </c>
    </row>
    <row r="519" spans="1:11" hidden="1" x14ac:dyDescent="0.25">
      <c r="A519" t="s">
        <v>1102</v>
      </c>
      <c r="B519" s="8">
        <v>45773</v>
      </c>
      <c r="C519" t="s">
        <v>703</v>
      </c>
      <c r="D519" t="s">
        <v>10</v>
      </c>
      <c r="E519" t="s">
        <v>623</v>
      </c>
      <c r="F519" t="s">
        <v>71</v>
      </c>
      <c r="G519" s="2">
        <v>1</v>
      </c>
      <c r="H519" s="2">
        <v>140</v>
      </c>
      <c r="I519" t="s">
        <v>11</v>
      </c>
      <c r="J519" s="9"/>
      <c r="K519" t="str">
        <f t="shared" si="8"/>
        <v>REGULAR</v>
      </c>
    </row>
    <row r="520" spans="1:11" hidden="1" x14ac:dyDescent="0.25">
      <c r="F520" t="s">
        <v>721</v>
      </c>
      <c r="G520" s="2">
        <v>1</v>
      </c>
      <c r="I520" t="s">
        <v>11</v>
      </c>
      <c r="J520" s="9"/>
      <c r="K520" t="str">
        <f t="shared" si="8"/>
        <v>REGULAR</v>
      </c>
    </row>
    <row r="521" spans="1:11" hidden="1" x14ac:dyDescent="0.25">
      <c r="A521" t="s">
        <v>1103</v>
      </c>
      <c r="B521" s="8">
        <v>45773</v>
      </c>
      <c r="C521" t="s">
        <v>703</v>
      </c>
      <c r="D521" t="s">
        <v>10</v>
      </c>
      <c r="E521" t="s">
        <v>623</v>
      </c>
      <c r="F521" t="s">
        <v>401</v>
      </c>
      <c r="G521" s="2">
        <v>1</v>
      </c>
      <c r="H521" s="2">
        <v>220</v>
      </c>
      <c r="I521" t="s">
        <v>34</v>
      </c>
      <c r="J521" s="9"/>
      <c r="K521" t="str">
        <f t="shared" si="8"/>
        <v>REGULAR</v>
      </c>
    </row>
    <row r="522" spans="1:11" hidden="1" x14ac:dyDescent="0.25">
      <c r="F522" t="s">
        <v>1068</v>
      </c>
      <c r="G522" s="2">
        <v>1</v>
      </c>
      <c r="I522" t="s">
        <v>34</v>
      </c>
      <c r="J522" s="9"/>
      <c r="K522" t="str">
        <f t="shared" si="8"/>
        <v>REGULAR</v>
      </c>
    </row>
    <row r="523" spans="1:11" hidden="1" x14ac:dyDescent="0.25">
      <c r="A523" t="s">
        <v>1104</v>
      </c>
      <c r="B523" s="8">
        <v>45773</v>
      </c>
      <c r="C523" t="s">
        <v>703</v>
      </c>
      <c r="D523" t="s">
        <v>10</v>
      </c>
      <c r="E523" t="s">
        <v>623</v>
      </c>
      <c r="F523" t="s">
        <v>672</v>
      </c>
      <c r="G523" s="2">
        <v>1</v>
      </c>
      <c r="H523" s="2">
        <v>255</v>
      </c>
      <c r="I523" t="s">
        <v>11</v>
      </c>
      <c r="J523" s="9"/>
      <c r="K523" t="str">
        <f t="shared" si="8"/>
        <v>REGULAR</v>
      </c>
    </row>
    <row r="524" spans="1:11" hidden="1" x14ac:dyDescent="0.25">
      <c r="F524" t="s">
        <v>492</v>
      </c>
      <c r="G524" s="2">
        <v>1</v>
      </c>
      <c r="I524" t="s">
        <v>11</v>
      </c>
      <c r="J524" s="9"/>
      <c r="K524" t="str">
        <f t="shared" si="8"/>
        <v>REGULAR</v>
      </c>
    </row>
    <row r="525" spans="1:11" hidden="1" x14ac:dyDescent="0.25">
      <c r="A525" t="s">
        <v>1105</v>
      </c>
      <c r="B525" s="8">
        <v>45773</v>
      </c>
      <c r="C525" t="s">
        <v>703</v>
      </c>
      <c r="D525" t="s">
        <v>10</v>
      </c>
      <c r="E525" t="s">
        <v>623</v>
      </c>
      <c r="F525" t="s">
        <v>438</v>
      </c>
      <c r="G525" s="2">
        <v>1</v>
      </c>
      <c r="H525" s="2">
        <v>360</v>
      </c>
      <c r="I525" t="s">
        <v>34</v>
      </c>
      <c r="J525" s="9"/>
      <c r="K525" t="str">
        <f t="shared" si="8"/>
        <v>REGULAR</v>
      </c>
    </row>
    <row r="526" spans="1:11" hidden="1" x14ac:dyDescent="0.25">
      <c r="F526" t="s">
        <v>488</v>
      </c>
      <c r="G526" s="2">
        <v>1</v>
      </c>
      <c r="I526" t="s">
        <v>11</v>
      </c>
      <c r="J526" s="9"/>
      <c r="K526" t="str">
        <f t="shared" si="8"/>
        <v>REGULAR</v>
      </c>
    </row>
    <row r="527" spans="1:11" hidden="1" x14ac:dyDescent="0.25">
      <c r="A527" t="s">
        <v>1106</v>
      </c>
      <c r="B527" s="8">
        <v>45774</v>
      </c>
      <c r="C527" t="s">
        <v>724</v>
      </c>
      <c r="D527" t="s">
        <v>10</v>
      </c>
      <c r="E527" t="s">
        <v>623</v>
      </c>
      <c r="F527" t="s">
        <v>408</v>
      </c>
      <c r="G527" s="2">
        <v>1</v>
      </c>
      <c r="H527" s="2">
        <v>190</v>
      </c>
      <c r="I527" t="s">
        <v>34</v>
      </c>
      <c r="J527" s="9"/>
      <c r="K527" t="str">
        <f t="shared" si="8"/>
        <v>REGULAR</v>
      </c>
    </row>
    <row r="528" spans="1:11" x14ac:dyDescent="0.25">
      <c r="A528" t="s">
        <v>1107</v>
      </c>
      <c r="B528" s="8">
        <v>45774</v>
      </c>
      <c r="C528" t="s">
        <v>724</v>
      </c>
      <c r="D528" t="s">
        <v>10</v>
      </c>
      <c r="E528" t="s">
        <v>607</v>
      </c>
      <c r="F528" t="s">
        <v>1026</v>
      </c>
      <c r="G528" s="2">
        <v>1</v>
      </c>
      <c r="H528" s="2">
        <v>117</v>
      </c>
      <c r="I528" t="s">
        <v>34</v>
      </c>
      <c r="J528" s="9"/>
      <c r="K528" t="str">
        <f t="shared" si="8"/>
        <v>SUBSCRIPTION</v>
      </c>
    </row>
    <row r="529" spans="1:11" x14ac:dyDescent="0.25">
      <c r="A529" t="s">
        <v>1108</v>
      </c>
      <c r="B529" s="8">
        <v>45774</v>
      </c>
      <c r="C529" t="s">
        <v>724</v>
      </c>
      <c r="D529" t="s">
        <v>10</v>
      </c>
      <c r="E529" t="s">
        <v>607</v>
      </c>
      <c r="F529" t="s">
        <v>727</v>
      </c>
      <c r="G529" s="2">
        <v>1</v>
      </c>
      <c r="H529" s="2">
        <v>129</v>
      </c>
      <c r="I529" t="s">
        <v>34</v>
      </c>
      <c r="J529" s="9"/>
      <c r="K529" t="str">
        <f t="shared" si="8"/>
        <v>SUBSCRIPTION</v>
      </c>
    </row>
    <row r="530" spans="1:11" x14ac:dyDescent="0.25">
      <c r="A530" t="s">
        <v>1109</v>
      </c>
      <c r="B530" s="8">
        <v>45774</v>
      </c>
      <c r="C530" t="s">
        <v>724</v>
      </c>
      <c r="D530" t="s">
        <v>18</v>
      </c>
      <c r="E530" t="s">
        <v>607</v>
      </c>
      <c r="F530" t="s">
        <v>903</v>
      </c>
      <c r="G530" s="2">
        <v>1</v>
      </c>
      <c r="H530" s="2">
        <v>129</v>
      </c>
      <c r="I530" t="s">
        <v>34</v>
      </c>
      <c r="J530" s="9"/>
      <c r="K530" t="str">
        <f t="shared" si="8"/>
        <v>SUBSCRIPTION</v>
      </c>
    </row>
    <row r="531" spans="1:11" x14ac:dyDescent="0.25">
      <c r="A531" t="s">
        <v>1110</v>
      </c>
      <c r="B531" s="8">
        <v>45774</v>
      </c>
      <c r="C531" t="s">
        <v>724</v>
      </c>
      <c r="D531" t="s">
        <v>18</v>
      </c>
      <c r="E531" t="s">
        <v>607</v>
      </c>
      <c r="F531" t="s">
        <v>903</v>
      </c>
      <c r="G531" s="2">
        <v>1</v>
      </c>
      <c r="H531" s="2">
        <v>129</v>
      </c>
      <c r="I531" t="s">
        <v>34</v>
      </c>
      <c r="J531" s="9"/>
      <c r="K531" t="str">
        <f t="shared" si="8"/>
        <v>SUBSCRIPTION</v>
      </c>
    </row>
    <row r="532" spans="1:11" hidden="1" x14ac:dyDescent="0.25">
      <c r="A532" t="s">
        <v>1111</v>
      </c>
      <c r="B532" s="8">
        <v>45774</v>
      </c>
      <c r="C532" t="s">
        <v>724</v>
      </c>
      <c r="D532" t="s">
        <v>10</v>
      </c>
      <c r="E532" t="s">
        <v>623</v>
      </c>
      <c r="F532" t="s">
        <v>391</v>
      </c>
      <c r="G532" s="2">
        <v>1</v>
      </c>
      <c r="H532" s="2">
        <v>340</v>
      </c>
      <c r="I532" t="s">
        <v>34</v>
      </c>
      <c r="J532" s="9"/>
      <c r="K532" t="str">
        <f t="shared" si="8"/>
        <v>REGULAR</v>
      </c>
    </row>
    <row r="533" spans="1:11" hidden="1" x14ac:dyDescent="0.25">
      <c r="F533" t="s">
        <v>392</v>
      </c>
      <c r="G533" s="2">
        <v>1</v>
      </c>
      <c r="I533" t="s">
        <v>34</v>
      </c>
      <c r="J533" s="9"/>
      <c r="K533" t="str">
        <f t="shared" si="8"/>
        <v>REGULAR</v>
      </c>
    </row>
    <row r="534" spans="1:11" hidden="1" x14ac:dyDescent="0.25">
      <c r="A534" t="s">
        <v>1112</v>
      </c>
      <c r="B534" s="8">
        <v>45774</v>
      </c>
      <c r="C534" t="s">
        <v>724</v>
      </c>
      <c r="D534" t="s">
        <v>10</v>
      </c>
      <c r="E534" t="s">
        <v>623</v>
      </c>
      <c r="F534" t="s">
        <v>789</v>
      </c>
      <c r="G534" s="2">
        <v>1</v>
      </c>
      <c r="H534" s="2">
        <v>290</v>
      </c>
      <c r="I534" t="s">
        <v>11</v>
      </c>
      <c r="J534" s="9"/>
      <c r="K534" t="str">
        <f t="shared" si="8"/>
        <v>REGULAR</v>
      </c>
    </row>
    <row r="535" spans="1:11" hidden="1" x14ac:dyDescent="0.25">
      <c r="F535" t="s">
        <v>409</v>
      </c>
      <c r="G535" s="2">
        <v>1</v>
      </c>
      <c r="I535" t="s">
        <v>11</v>
      </c>
      <c r="J535" s="9"/>
      <c r="K535" t="str">
        <f t="shared" si="8"/>
        <v>REGULAR</v>
      </c>
    </row>
    <row r="536" spans="1:11" hidden="1" x14ac:dyDescent="0.25">
      <c r="F536" t="s">
        <v>385</v>
      </c>
      <c r="G536" s="2">
        <v>1</v>
      </c>
      <c r="I536" t="s">
        <v>11</v>
      </c>
      <c r="J536" s="9"/>
      <c r="K536" t="str">
        <f t="shared" si="8"/>
        <v>REGULAR</v>
      </c>
    </row>
    <row r="537" spans="1:11" hidden="1" x14ac:dyDescent="0.25">
      <c r="A537" t="s">
        <v>1113</v>
      </c>
      <c r="B537" s="8">
        <v>45774</v>
      </c>
      <c r="C537" t="s">
        <v>724</v>
      </c>
      <c r="D537" t="s">
        <v>10</v>
      </c>
      <c r="E537" t="s">
        <v>623</v>
      </c>
      <c r="F537" t="s">
        <v>475</v>
      </c>
      <c r="G537" s="2">
        <v>1</v>
      </c>
      <c r="H537" s="2">
        <v>275</v>
      </c>
      <c r="I537" t="s">
        <v>11</v>
      </c>
      <c r="J537" s="9"/>
      <c r="K537" t="str">
        <f t="shared" si="8"/>
        <v>REGULAR</v>
      </c>
    </row>
    <row r="538" spans="1:11" hidden="1" x14ac:dyDescent="0.25">
      <c r="F538" t="s">
        <v>752</v>
      </c>
      <c r="G538" s="2">
        <v>1</v>
      </c>
      <c r="I538" t="s">
        <v>34</v>
      </c>
      <c r="J538" s="9"/>
      <c r="K538" t="str">
        <f t="shared" si="8"/>
        <v>REGULAR</v>
      </c>
    </row>
    <row r="539" spans="1:11" hidden="1" x14ac:dyDescent="0.25">
      <c r="A539" t="s">
        <v>1114</v>
      </c>
      <c r="B539" s="8">
        <v>45774</v>
      </c>
      <c r="C539" t="s">
        <v>724</v>
      </c>
      <c r="D539" t="s">
        <v>10</v>
      </c>
      <c r="E539" t="s">
        <v>623</v>
      </c>
      <c r="F539" t="s">
        <v>477</v>
      </c>
      <c r="G539" s="2">
        <v>2</v>
      </c>
      <c r="H539" s="2">
        <v>770</v>
      </c>
      <c r="I539" t="s">
        <v>34</v>
      </c>
      <c r="J539" s="9"/>
      <c r="K539" t="str">
        <f t="shared" si="8"/>
        <v>REGULAR</v>
      </c>
    </row>
    <row r="540" spans="1:11" hidden="1" x14ac:dyDescent="0.25">
      <c r="F540" t="s">
        <v>392</v>
      </c>
      <c r="G540" s="2">
        <v>1</v>
      </c>
      <c r="I540" t="s">
        <v>34</v>
      </c>
      <c r="J540" s="9"/>
      <c r="K540" t="str">
        <f t="shared" si="8"/>
        <v>REGULAR</v>
      </c>
    </row>
    <row r="541" spans="1:11" hidden="1" x14ac:dyDescent="0.25">
      <c r="A541" t="s">
        <v>1115</v>
      </c>
      <c r="B541" s="8">
        <v>45774</v>
      </c>
      <c r="C541" t="s">
        <v>724</v>
      </c>
      <c r="D541" t="s">
        <v>10</v>
      </c>
      <c r="E541" t="s">
        <v>623</v>
      </c>
      <c r="F541" t="s">
        <v>945</v>
      </c>
      <c r="G541" s="2">
        <v>1</v>
      </c>
      <c r="H541" s="2">
        <v>300</v>
      </c>
      <c r="I541" t="s">
        <v>34</v>
      </c>
      <c r="J541" s="9"/>
      <c r="K541" t="str">
        <f t="shared" si="8"/>
        <v>REGULAR</v>
      </c>
    </row>
    <row r="542" spans="1:11" hidden="1" x14ac:dyDescent="0.25">
      <c r="F542" t="s">
        <v>428</v>
      </c>
      <c r="G542" s="2">
        <v>1</v>
      </c>
      <c r="I542" t="s">
        <v>11</v>
      </c>
      <c r="J542" s="9"/>
      <c r="K542" t="str">
        <f t="shared" si="8"/>
        <v>REGULAR</v>
      </c>
    </row>
    <row r="543" spans="1:11" hidden="1" x14ac:dyDescent="0.25">
      <c r="A543" t="s">
        <v>1116</v>
      </c>
      <c r="B543" s="8">
        <v>45774</v>
      </c>
      <c r="C543" t="s">
        <v>724</v>
      </c>
      <c r="D543" t="s">
        <v>10</v>
      </c>
      <c r="E543" t="s">
        <v>623</v>
      </c>
      <c r="F543" t="s">
        <v>1117</v>
      </c>
      <c r="G543" s="2">
        <v>1</v>
      </c>
      <c r="H543" s="2">
        <v>255</v>
      </c>
      <c r="I543" t="s">
        <v>34</v>
      </c>
      <c r="J543" s="9"/>
      <c r="K543" t="str">
        <f t="shared" si="8"/>
        <v>REGULAR</v>
      </c>
    </row>
    <row r="544" spans="1:11" hidden="1" x14ac:dyDescent="0.25">
      <c r="F544" t="s">
        <v>77</v>
      </c>
      <c r="G544" s="2">
        <v>1</v>
      </c>
      <c r="I544" t="s">
        <v>11</v>
      </c>
      <c r="J544" s="9"/>
      <c r="K544" t="str">
        <f t="shared" si="8"/>
        <v>REGULAR</v>
      </c>
    </row>
    <row r="545" spans="1:11" x14ac:dyDescent="0.25">
      <c r="A545" t="s">
        <v>1118</v>
      </c>
      <c r="B545" s="8">
        <v>45775</v>
      </c>
      <c r="C545" t="s">
        <v>736</v>
      </c>
      <c r="D545" t="s">
        <v>21</v>
      </c>
      <c r="E545" t="s">
        <v>607</v>
      </c>
      <c r="F545" t="s">
        <v>759</v>
      </c>
      <c r="G545" s="2">
        <v>1</v>
      </c>
      <c r="H545" s="2">
        <v>99</v>
      </c>
      <c r="I545" t="s">
        <v>11</v>
      </c>
      <c r="J545" s="9"/>
      <c r="K545" t="str">
        <f t="shared" si="8"/>
        <v>SUBSCRIPTION</v>
      </c>
    </row>
    <row r="546" spans="1:11" x14ac:dyDescent="0.25">
      <c r="A546" t="s">
        <v>1119</v>
      </c>
      <c r="B546" s="8">
        <v>45775</v>
      </c>
      <c r="C546" t="s">
        <v>736</v>
      </c>
      <c r="D546" t="s">
        <v>10</v>
      </c>
      <c r="E546" t="s">
        <v>607</v>
      </c>
      <c r="F546" t="s">
        <v>765</v>
      </c>
      <c r="G546" s="2">
        <v>1</v>
      </c>
      <c r="H546" s="2">
        <v>117</v>
      </c>
      <c r="I546" t="s">
        <v>11</v>
      </c>
      <c r="J546" s="9"/>
      <c r="K546" t="str">
        <f t="shared" si="8"/>
        <v>SUBSCRIPTION</v>
      </c>
    </row>
    <row r="547" spans="1:11" x14ac:dyDescent="0.25">
      <c r="A547" t="s">
        <v>1120</v>
      </c>
      <c r="B547" s="8">
        <v>45775</v>
      </c>
      <c r="C547" t="s">
        <v>736</v>
      </c>
      <c r="D547" t="s">
        <v>18</v>
      </c>
      <c r="E547" t="s">
        <v>607</v>
      </c>
      <c r="F547" t="s">
        <v>762</v>
      </c>
      <c r="G547" s="2">
        <v>1</v>
      </c>
      <c r="H547" s="2">
        <v>117</v>
      </c>
      <c r="I547" t="s">
        <v>34</v>
      </c>
      <c r="J547" s="9"/>
      <c r="K547" t="str">
        <f t="shared" si="8"/>
        <v>SUBSCRIPTION</v>
      </c>
    </row>
    <row r="548" spans="1:11" x14ac:dyDescent="0.25">
      <c r="A548" t="s">
        <v>1121</v>
      </c>
      <c r="B548" s="8">
        <v>45775</v>
      </c>
      <c r="C548" t="s">
        <v>736</v>
      </c>
      <c r="D548" t="s">
        <v>10</v>
      </c>
      <c r="E548" t="s">
        <v>607</v>
      </c>
      <c r="F548" t="s">
        <v>926</v>
      </c>
      <c r="G548" s="2">
        <v>1</v>
      </c>
      <c r="H548" s="2">
        <v>129</v>
      </c>
      <c r="I548" t="s">
        <v>11</v>
      </c>
      <c r="J548" s="9"/>
      <c r="K548" t="str">
        <f t="shared" si="8"/>
        <v>SUBSCRIPTION</v>
      </c>
    </row>
    <row r="549" spans="1:11" x14ac:dyDescent="0.25">
      <c r="A549" t="s">
        <v>1122</v>
      </c>
      <c r="B549" s="8">
        <v>45775</v>
      </c>
      <c r="C549" t="s">
        <v>736</v>
      </c>
      <c r="D549" t="s">
        <v>18</v>
      </c>
      <c r="E549" t="s">
        <v>607</v>
      </c>
      <c r="F549" t="s">
        <v>756</v>
      </c>
      <c r="G549" s="2">
        <v>1</v>
      </c>
      <c r="H549" s="2">
        <v>79</v>
      </c>
      <c r="I549" t="s">
        <v>11</v>
      </c>
      <c r="J549" s="9"/>
      <c r="K549" t="str">
        <f t="shared" si="8"/>
        <v>SUBSCRIPTION</v>
      </c>
    </row>
    <row r="550" spans="1:11" x14ac:dyDescent="0.25">
      <c r="A550" t="s">
        <v>1123</v>
      </c>
      <c r="B550" s="8">
        <v>45775</v>
      </c>
      <c r="C550" t="s">
        <v>736</v>
      </c>
      <c r="D550" t="s">
        <v>10</v>
      </c>
      <c r="E550" t="s">
        <v>607</v>
      </c>
      <c r="F550" t="s">
        <v>926</v>
      </c>
      <c r="G550" s="2">
        <v>1</v>
      </c>
      <c r="H550" s="2">
        <v>129</v>
      </c>
      <c r="I550" t="s">
        <v>11</v>
      </c>
      <c r="J550" s="9"/>
      <c r="K550" t="str">
        <f t="shared" si="8"/>
        <v>SUBSCRIPTION</v>
      </c>
    </row>
    <row r="551" spans="1:11" x14ac:dyDescent="0.25">
      <c r="A551" t="s">
        <v>1124</v>
      </c>
      <c r="B551" s="8">
        <v>45775</v>
      </c>
      <c r="C551" t="s">
        <v>736</v>
      </c>
      <c r="D551" t="s">
        <v>10</v>
      </c>
      <c r="E551" t="s">
        <v>607</v>
      </c>
      <c r="F551" t="s">
        <v>765</v>
      </c>
      <c r="G551" s="2">
        <v>1</v>
      </c>
      <c r="H551" s="2">
        <v>117</v>
      </c>
      <c r="I551" t="s">
        <v>11</v>
      </c>
      <c r="J551" s="9"/>
      <c r="K551" t="str">
        <f t="shared" si="8"/>
        <v>SUBSCRIPTION</v>
      </c>
    </row>
    <row r="552" spans="1:11" x14ac:dyDescent="0.25">
      <c r="A552" t="s">
        <v>1125</v>
      </c>
      <c r="B552" s="8">
        <v>45775</v>
      </c>
      <c r="C552" t="s">
        <v>736</v>
      </c>
      <c r="D552" t="s">
        <v>10</v>
      </c>
      <c r="E552" t="s">
        <v>607</v>
      </c>
      <c r="F552" t="s">
        <v>1126</v>
      </c>
      <c r="G552" s="2">
        <v>1</v>
      </c>
      <c r="H552" s="2">
        <v>129</v>
      </c>
      <c r="I552" t="s">
        <v>11</v>
      </c>
      <c r="J552" s="9"/>
      <c r="K552" t="str">
        <f t="shared" si="8"/>
        <v>SUBSCRIPTION</v>
      </c>
    </row>
    <row r="553" spans="1:11" hidden="1" x14ac:dyDescent="0.25">
      <c r="A553" t="s">
        <v>1127</v>
      </c>
      <c r="B553" s="8">
        <v>45775</v>
      </c>
      <c r="C553" t="s">
        <v>736</v>
      </c>
      <c r="D553" t="s">
        <v>10</v>
      </c>
      <c r="E553" t="s">
        <v>623</v>
      </c>
      <c r="F553" t="s">
        <v>999</v>
      </c>
      <c r="G553" s="2">
        <v>1</v>
      </c>
      <c r="H553" s="2">
        <v>155</v>
      </c>
      <c r="I553" t="s">
        <v>11</v>
      </c>
      <c r="J553" s="9"/>
      <c r="K553" t="str">
        <f t="shared" si="8"/>
        <v>REGULAR</v>
      </c>
    </row>
    <row r="554" spans="1:11" hidden="1" x14ac:dyDescent="0.25">
      <c r="F554" t="s">
        <v>488</v>
      </c>
      <c r="G554" s="2">
        <v>1</v>
      </c>
      <c r="I554" t="s">
        <v>11</v>
      </c>
      <c r="J554" s="9"/>
      <c r="K554" t="str">
        <f t="shared" si="8"/>
        <v>REGULAR</v>
      </c>
    </row>
    <row r="555" spans="1:11" hidden="1" x14ac:dyDescent="0.25">
      <c r="A555" t="s">
        <v>1128</v>
      </c>
      <c r="B555" s="8">
        <v>45775</v>
      </c>
      <c r="C555" t="s">
        <v>736</v>
      </c>
      <c r="D555" t="s">
        <v>10</v>
      </c>
      <c r="E555" t="s">
        <v>623</v>
      </c>
      <c r="F555" t="s">
        <v>469</v>
      </c>
      <c r="G555" s="2">
        <v>1</v>
      </c>
      <c r="H555" s="2">
        <v>170</v>
      </c>
      <c r="I555" t="s">
        <v>34</v>
      </c>
      <c r="J555" s="9"/>
      <c r="K555" t="str">
        <f t="shared" si="8"/>
        <v>REGULAR</v>
      </c>
    </row>
    <row r="556" spans="1:11" hidden="1" x14ac:dyDescent="0.25">
      <c r="A556" t="s">
        <v>1129</v>
      </c>
      <c r="B556" s="8">
        <v>45775</v>
      </c>
      <c r="C556" t="s">
        <v>736</v>
      </c>
      <c r="D556" t="s">
        <v>10</v>
      </c>
      <c r="E556" t="s">
        <v>623</v>
      </c>
      <c r="F556" t="s">
        <v>697</v>
      </c>
      <c r="G556" s="2">
        <v>1</v>
      </c>
      <c r="H556" s="2">
        <v>699</v>
      </c>
      <c r="I556" t="s">
        <v>34</v>
      </c>
      <c r="J556" s="9"/>
      <c r="K556" t="str">
        <f t="shared" si="8"/>
        <v>REGULAR</v>
      </c>
    </row>
    <row r="557" spans="1:11" hidden="1" x14ac:dyDescent="0.25">
      <c r="A557" t="s">
        <v>1130</v>
      </c>
      <c r="B557" s="8">
        <v>45775</v>
      </c>
      <c r="C557" t="s">
        <v>736</v>
      </c>
      <c r="D557" t="s">
        <v>10</v>
      </c>
      <c r="E557" t="s">
        <v>623</v>
      </c>
      <c r="F557" t="s">
        <v>391</v>
      </c>
      <c r="G557" s="2">
        <v>1</v>
      </c>
      <c r="H557" s="2">
        <v>530</v>
      </c>
      <c r="I557" t="s">
        <v>34</v>
      </c>
      <c r="J557" s="9"/>
      <c r="K557" t="str">
        <f t="shared" si="8"/>
        <v>REGULAR</v>
      </c>
    </row>
    <row r="558" spans="1:11" hidden="1" x14ac:dyDescent="0.25">
      <c r="F558" t="s">
        <v>752</v>
      </c>
      <c r="G558" s="2">
        <v>1</v>
      </c>
      <c r="I558" t="s">
        <v>34</v>
      </c>
      <c r="J558" s="9"/>
      <c r="K558" t="str">
        <f t="shared" si="8"/>
        <v>REGULAR</v>
      </c>
    </row>
    <row r="559" spans="1:11" hidden="1" x14ac:dyDescent="0.25">
      <c r="F559" t="s">
        <v>394</v>
      </c>
      <c r="G559" s="2">
        <v>1</v>
      </c>
      <c r="I559" t="s">
        <v>34</v>
      </c>
      <c r="J559" s="9"/>
      <c r="K559" t="str">
        <f t="shared" si="8"/>
        <v>REGULAR</v>
      </c>
    </row>
    <row r="560" spans="1:11" hidden="1" x14ac:dyDescent="0.25">
      <c r="A560" t="s">
        <v>1131</v>
      </c>
      <c r="B560" s="8">
        <v>45775</v>
      </c>
      <c r="C560" t="s">
        <v>736</v>
      </c>
      <c r="D560" t="s">
        <v>10</v>
      </c>
      <c r="E560" t="s">
        <v>623</v>
      </c>
      <c r="F560" t="s">
        <v>428</v>
      </c>
      <c r="G560" s="2">
        <v>1</v>
      </c>
      <c r="H560" s="2">
        <v>220</v>
      </c>
      <c r="I560" t="s">
        <v>11</v>
      </c>
      <c r="J560" s="9"/>
      <c r="K560" t="str">
        <f t="shared" si="8"/>
        <v>REGULAR</v>
      </c>
    </row>
    <row r="561" spans="1:11" hidden="1" x14ac:dyDescent="0.25">
      <c r="F561" t="s">
        <v>772</v>
      </c>
      <c r="G561" s="2">
        <v>1</v>
      </c>
      <c r="I561" t="s">
        <v>11</v>
      </c>
      <c r="J561" s="9"/>
      <c r="K561" t="str">
        <f t="shared" si="8"/>
        <v>REGULAR</v>
      </c>
    </row>
    <row r="562" spans="1:11" x14ac:dyDescent="0.25">
      <c r="A562" t="s">
        <v>1132</v>
      </c>
      <c r="B562" s="8">
        <v>45776</v>
      </c>
      <c r="C562" t="s">
        <v>606</v>
      </c>
      <c r="D562" t="s">
        <v>10</v>
      </c>
      <c r="E562" t="s">
        <v>607</v>
      </c>
      <c r="F562" t="s">
        <v>934</v>
      </c>
      <c r="G562" s="2">
        <v>1</v>
      </c>
      <c r="H562" s="2">
        <v>129</v>
      </c>
      <c r="I562" t="s">
        <v>11</v>
      </c>
      <c r="J562" s="9"/>
      <c r="K562" t="str">
        <f t="shared" si="8"/>
        <v>SUBSCRIPTION</v>
      </c>
    </row>
    <row r="563" spans="1:11" x14ac:dyDescent="0.25">
      <c r="A563" t="s">
        <v>1133</v>
      </c>
      <c r="B563" s="8">
        <v>45776</v>
      </c>
      <c r="C563" t="s">
        <v>606</v>
      </c>
      <c r="D563" t="s">
        <v>18</v>
      </c>
      <c r="E563" t="s">
        <v>607</v>
      </c>
      <c r="F563" t="s">
        <v>610</v>
      </c>
      <c r="G563" s="2">
        <v>1</v>
      </c>
      <c r="H563" s="2">
        <v>117</v>
      </c>
      <c r="I563" t="s">
        <v>34</v>
      </c>
      <c r="J563" s="9"/>
      <c r="K563" t="str">
        <f t="shared" si="8"/>
        <v>SUBSCRIPTION</v>
      </c>
    </row>
    <row r="564" spans="1:11" x14ac:dyDescent="0.25">
      <c r="A564" t="s">
        <v>1134</v>
      </c>
      <c r="B564" s="8">
        <v>45776</v>
      </c>
      <c r="C564" t="s">
        <v>606</v>
      </c>
      <c r="D564" t="s">
        <v>10</v>
      </c>
      <c r="E564" t="s">
        <v>607</v>
      </c>
      <c r="F564" t="s">
        <v>937</v>
      </c>
      <c r="G564" s="2">
        <v>1</v>
      </c>
      <c r="H564" s="2">
        <v>129</v>
      </c>
      <c r="I564" t="s">
        <v>34</v>
      </c>
      <c r="J564" s="9"/>
      <c r="K564" t="str">
        <f t="shared" si="8"/>
        <v>SUBSCRIPTION</v>
      </c>
    </row>
    <row r="565" spans="1:11" x14ac:dyDescent="0.25">
      <c r="A565" t="s">
        <v>1136</v>
      </c>
      <c r="B565" s="8">
        <v>45776</v>
      </c>
      <c r="C565" t="s">
        <v>606</v>
      </c>
      <c r="D565" t="s">
        <v>18</v>
      </c>
      <c r="E565" t="s">
        <v>607</v>
      </c>
      <c r="F565" t="s">
        <v>614</v>
      </c>
      <c r="G565" s="2">
        <v>1</v>
      </c>
      <c r="H565" s="2">
        <v>99</v>
      </c>
      <c r="I565" t="s">
        <v>11</v>
      </c>
      <c r="J565" s="9"/>
      <c r="K565" t="str">
        <f t="shared" si="8"/>
        <v>SUBSCRIPTION</v>
      </c>
    </row>
    <row r="566" spans="1:11" x14ac:dyDescent="0.25">
      <c r="A566" t="s">
        <v>1135</v>
      </c>
      <c r="B566" s="8">
        <v>45776</v>
      </c>
      <c r="C566" t="s">
        <v>606</v>
      </c>
      <c r="D566" t="s">
        <v>21</v>
      </c>
      <c r="E566" t="s">
        <v>607</v>
      </c>
      <c r="F566" t="s">
        <v>940</v>
      </c>
      <c r="G566" s="2">
        <v>1</v>
      </c>
      <c r="H566" s="2">
        <v>99</v>
      </c>
      <c r="I566" t="s">
        <v>11</v>
      </c>
      <c r="J566" s="9"/>
      <c r="K566" t="str">
        <f t="shared" si="8"/>
        <v>SUBSCRIPTION</v>
      </c>
    </row>
    <row r="567" spans="1:11" x14ac:dyDescent="0.25">
      <c r="A567" t="s">
        <v>1137</v>
      </c>
      <c r="B567" s="8">
        <v>45776</v>
      </c>
      <c r="C567" t="s">
        <v>606</v>
      </c>
      <c r="D567" t="s">
        <v>10</v>
      </c>
      <c r="E567" t="s">
        <v>607</v>
      </c>
      <c r="F567" t="s">
        <v>934</v>
      </c>
      <c r="G567" s="2">
        <v>1</v>
      </c>
      <c r="H567" s="2">
        <v>129</v>
      </c>
      <c r="I567" t="s">
        <v>11</v>
      </c>
      <c r="J567" s="9"/>
      <c r="K567" t="str">
        <f t="shared" si="8"/>
        <v>SUBSCRIPTION</v>
      </c>
    </row>
    <row r="568" spans="1:11" x14ac:dyDescent="0.25">
      <c r="A568" t="s">
        <v>1138</v>
      </c>
      <c r="B568" s="8">
        <v>45776</v>
      </c>
      <c r="C568" t="s">
        <v>606</v>
      </c>
      <c r="D568" t="s">
        <v>18</v>
      </c>
      <c r="E568" t="s">
        <v>607</v>
      </c>
      <c r="F568" t="s">
        <v>614</v>
      </c>
      <c r="G568" s="2">
        <v>1</v>
      </c>
      <c r="H568" s="2">
        <v>99</v>
      </c>
      <c r="I568" t="s">
        <v>11</v>
      </c>
      <c r="J568" s="9"/>
      <c r="K568" t="str">
        <f t="shared" si="8"/>
        <v>SUBSCRIPTION</v>
      </c>
    </row>
    <row r="569" spans="1:11" x14ac:dyDescent="0.25">
      <c r="A569" t="s">
        <v>1139</v>
      </c>
      <c r="B569" s="8">
        <v>45776</v>
      </c>
      <c r="C569" t="s">
        <v>606</v>
      </c>
      <c r="D569" t="s">
        <v>10</v>
      </c>
      <c r="E569" t="s">
        <v>607</v>
      </c>
      <c r="F569" t="s">
        <v>1140</v>
      </c>
      <c r="G569" s="2">
        <v>2</v>
      </c>
      <c r="H569" s="2">
        <v>129</v>
      </c>
      <c r="I569" t="s">
        <v>11</v>
      </c>
      <c r="J569" s="9"/>
      <c r="K569" t="str">
        <f t="shared" si="8"/>
        <v>SUBSCRIPTION</v>
      </c>
    </row>
    <row r="570" spans="1:11" hidden="1" x14ac:dyDescent="0.25">
      <c r="A570" t="s">
        <v>1141</v>
      </c>
      <c r="B570" s="8">
        <v>45776</v>
      </c>
      <c r="C570" t="s">
        <v>606</v>
      </c>
      <c r="D570" t="s">
        <v>10</v>
      </c>
      <c r="E570" t="s">
        <v>623</v>
      </c>
      <c r="F570" t="s">
        <v>721</v>
      </c>
      <c r="G570" s="2">
        <v>1</v>
      </c>
      <c r="H570" s="2">
        <v>315</v>
      </c>
      <c r="I570" t="s">
        <v>11</v>
      </c>
      <c r="J570" s="9"/>
      <c r="K570" t="str">
        <f t="shared" si="8"/>
        <v>REGULAR</v>
      </c>
    </row>
    <row r="571" spans="1:11" hidden="1" x14ac:dyDescent="0.25">
      <c r="F571" t="s">
        <v>667</v>
      </c>
      <c r="G571" s="2">
        <v>1</v>
      </c>
      <c r="I571" t="s">
        <v>11</v>
      </c>
      <c r="J571" s="9"/>
      <c r="K571" t="str">
        <f t="shared" si="8"/>
        <v>REGULAR</v>
      </c>
    </row>
    <row r="572" spans="1:11" hidden="1" x14ac:dyDescent="0.25">
      <c r="F572" t="s">
        <v>772</v>
      </c>
      <c r="G572" s="2">
        <v>1</v>
      </c>
      <c r="I572" t="s">
        <v>11</v>
      </c>
      <c r="J572" s="9"/>
      <c r="K572" t="str">
        <f t="shared" si="8"/>
        <v>REGULAR</v>
      </c>
    </row>
    <row r="573" spans="1:11" hidden="1" x14ac:dyDescent="0.25">
      <c r="F573" t="s">
        <v>404</v>
      </c>
      <c r="G573" s="2">
        <v>1</v>
      </c>
      <c r="I573" t="s">
        <v>34</v>
      </c>
      <c r="J573" s="9"/>
      <c r="K573" t="str">
        <f t="shared" si="8"/>
        <v>REGULAR</v>
      </c>
    </row>
    <row r="574" spans="1:11" hidden="1" x14ac:dyDescent="0.25">
      <c r="A574" t="s">
        <v>1142</v>
      </c>
      <c r="B574" s="8">
        <v>45776</v>
      </c>
      <c r="C574" t="s">
        <v>606</v>
      </c>
      <c r="D574" t="s">
        <v>10</v>
      </c>
      <c r="E574" t="s">
        <v>623</v>
      </c>
      <c r="F574" t="s">
        <v>77</v>
      </c>
      <c r="G574" s="2">
        <v>1</v>
      </c>
      <c r="H574" s="2">
        <v>145</v>
      </c>
      <c r="I574" t="s">
        <v>11</v>
      </c>
      <c r="J574" s="9"/>
      <c r="K574" t="str">
        <f t="shared" si="8"/>
        <v>REGULAR</v>
      </c>
    </row>
    <row r="575" spans="1:11" hidden="1" x14ac:dyDescent="0.25">
      <c r="F575" t="s">
        <v>488</v>
      </c>
      <c r="G575" s="2">
        <v>1</v>
      </c>
      <c r="I575" t="s">
        <v>11</v>
      </c>
      <c r="J575" s="9"/>
      <c r="K575" t="str">
        <f t="shared" si="8"/>
        <v>REGULAR</v>
      </c>
    </row>
    <row r="576" spans="1:11" hidden="1" x14ac:dyDescent="0.25">
      <c r="A576" t="s">
        <v>1143</v>
      </c>
      <c r="B576" s="8">
        <v>45776</v>
      </c>
      <c r="C576" t="s">
        <v>606</v>
      </c>
      <c r="D576" t="s">
        <v>10</v>
      </c>
      <c r="E576" t="s">
        <v>623</v>
      </c>
      <c r="F576" t="s">
        <v>392</v>
      </c>
      <c r="G576" s="2">
        <v>1</v>
      </c>
      <c r="H576" s="2">
        <v>380</v>
      </c>
      <c r="I576" t="s">
        <v>34</v>
      </c>
      <c r="J576" s="9"/>
      <c r="K576" t="str">
        <f t="shared" si="8"/>
        <v>REGULAR</v>
      </c>
    </row>
    <row r="577" spans="1:11" hidden="1" x14ac:dyDescent="0.25">
      <c r="F577" t="s">
        <v>436</v>
      </c>
      <c r="G577" s="2">
        <v>1</v>
      </c>
      <c r="I577" t="s">
        <v>11</v>
      </c>
      <c r="J577" s="9"/>
      <c r="K577" t="str">
        <f t="shared" si="8"/>
        <v>REGULAR</v>
      </c>
    </row>
    <row r="578" spans="1:11" hidden="1" x14ac:dyDescent="0.25">
      <c r="A578" t="s">
        <v>1144</v>
      </c>
      <c r="B578" s="8">
        <v>45776</v>
      </c>
      <c r="C578" t="s">
        <v>606</v>
      </c>
      <c r="D578" t="s">
        <v>10</v>
      </c>
      <c r="E578" t="s">
        <v>623</v>
      </c>
      <c r="F578" t="s">
        <v>428</v>
      </c>
      <c r="G578" s="2">
        <v>1</v>
      </c>
      <c r="H578" s="2">
        <v>190</v>
      </c>
      <c r="I578" t="s">
        <v>11</v>
      </c>
      <c r="J578" s="9"/>
      <c r="K578" t="str">
        <f t="shared" ref="K578:K641" si="9">IF(E578&lt;&gt;"", E578, K577)</f>
        <v>REGULAR</v>
      </c>
    </row>
    <row r="579" spans="1:11" hidden="1" x14ac:dyDescent="0.25">
      <c r="F579" t="s">
        <v>493</v>
      </c>
      <c r="G579" s="2">
        <v>1</v>
      </c>
      <c r="I579" t="s">
        <v>11</v>
      </c>
      <c r="J579" s="9"/>
      <c r="K579" t="str">
        <f t="shared" si="9"/>
        <v>REGULAR</v>
      </c>
    </row>
    <row r="580" spans="1:11" hidden="1" x14ac:dyDescent="0.25">
      <c r="A580" t="s">
        <v>1145</v>
      </c>
      <c r="B580" s="8">
        <v>45776</v>
      </c>
      <c r="C580" t="s">
        <v>606</v>
      </c>
      <c r="D580" t="s">
        <v>10</v>
      </c>
      <c r="E580" t="s">
        <v>623</v>
      </c>
      <c r="F580" t="s">
        <v>392</v>
      </c>
      <c r="G580" s="2">
        <v>1</v>
      </c>
      <c r="H580" s="2">
        <v>430</v>
      </c>
      <c r="I580" t="s">
        <v>34</v>
      </c>
      <c r="J580" s="9"/>
      <c r="K580" t="str">
        <f t="shared" si="9"/>
        <v>REGULAR</v>
      </c>
    </row>
    <row r="581" spans="1:11" hidden="1" x14ac:dyDescent="0.25">
      <c r="F581" t="s">
        <v>673</v>
      </c>
      <c r="G581" s="2">
        <v>1</v>
      </c>
      <c r="I581" t="s">
        <v>11</v>
      </c>
      <c r="J581" s="9"/>
      <c r="K581" t="str">
        <f t="shared" si="9"/>
        <v>REGULAR</v>
      </c>
    </row>
    <row r="582" spans="1:11" hidden="1" x14ac:dyDescent="0.25">
      <c r="F582" t="s">
        <v>395</v>
      </c>
      <c r="G582" s="2">
        <v>1</v>
      </c>
      <c r="I582" t="s">
        <v>34</v>
      </c>
      <c r="J582" s="9"/>
      <c r="K582" t="str">
        <f t="shared" si="9"/>
        <v>REGULAR</v>
      </c>
    </row>
    <row r="583" spans="1:11" x14ac:dyDescent="0.25">
      <c r="A583" t="s">
        <v>1146</v>
      </c>
      <c r="B583" s="8">
        <v>45778</v>
      </c>
      <c r="C583" t="s">
        <v>648</v>
      </c>
      <c r="D583" t="s">
        <v>10</v>
      </c>
      <c r="E583" t="s">
        <v>607</v>
      </c>
      <c r="F583" t="s">
        <v>820</v>
      </c>
      <c r="G583" s="2">
        <v>1</v>
      </c>
      <c r="H583" s="2">
        <v>99</v>
      </c>
      <c r="I583" t="s">
        <v>34</v>
      </c>
      <c r="J583" s="9"/>
      <c r="K583" t="str">
        <f t="shared" si="9"/>
        <v>SUBSCRIPTION</v>
      </c>
    </row>
    <row r="584" spans="1:11" x14ac:dyDescent="0.25">
      <c r="A584" t="s">
        <v>1147</v>
      </c>
      <c r="B584" s="8">
        <v>45778</v>
      </c>
      <c r="C584" t="s">
        <v>648</v>
      </c>
      <c r="D584" t="s">
        <v>18</v>
      </c>
      <c r="E584" t="s">
        <v>607</v>
      </c>
      <c r="F584" t="s">
        <v>658</v>
      </c>
      <c r="G584" s="2">
        <v>1</v>
      </c>
      <c r="H584" s="2">
        <v>149</v>
      </c>
      <c r="I584" t="s">
        <v>34</v>
      </c>
      <c r="J584" s="9"/>
      <c r="K584" t="str">
        <f t="shared" si="9"/>
        <v>SUBSCRIPTION</v>
      </c>
    </row>
    <row r="585" spans="1:11" x14ac:dyDescent="0.25">
      <c r="A585" t="s">
        <v>1148</v>
      </c>
      <c r="B585" s="8">
        <v>45778</v>
      </c>
      <c r="C585" t="s">
        <v>648</v>
      </c>
      <c r="D585" t="s">
        <v>21</v>
      </c>
      <c r="E585" t="s">
        <v>607</v>
      </c>
      <c r="F585" t="s">
        <v>1337</v>
      </c>
      <c r="G585" s="2">
        <v>1</v>
      </c>
      <c r="H585" s="2">
        <v>117</v>
      </c>
      <c r="I585" t="s">
        <v>34</v>
      </c>
      <c r="J585" s="9"/>
      <c r="K585" t="str">
        <f t="shared" si="9"/>
        <v>SUBSCRIPTION</v>
      </c>
    </row>
    <row r="586" spans="1:11" x14ac:dyDescent="0.25">
      <c r="A586" t="s">
        <v>1150</v>
      </c>
      <c r="B586" s="8">
        <v>45778</v>
      </c>
      <c r="C586" t="s">
        <v>648</v>
      </c>
      <c r="D586" t="s">
        <v>10</v>
      </c>
      <c r="E586" t="s">
        <v>607</v>
      </c>
      <c r="F586" t="s">
        <v>978</v>
      </c>
      <c r="G586" s="2">
        <v>1</v>
      </c>
      <c r="H586" s="2">
        <v>129</v>
      </c>
      <c r="I586" t="s">
        <v>11</v>
      </c>
      <c r="J586" s="9"/>
      <c r="K586" t="str">
        <f t="shared" si="9"/>
        <v>SUBSCRIPTION</v>
      </c>
    </row>
    <row r="587" spans="1:11" x14ac:dyDescent="0.25">
      <c r="A587" t="s">
        <v>1151</v>
      </c>
      <c r="B587" s="8">
        <v>45778</v>
      </c>
      <c r="C587" t="s">
        <v>648</v>
      </c>
      <c r="D587" t="s">
        <v>10</v>
      </c>
      <c r="E587" t="s">
        <v>607</v>
      </c>
      <c r="F587" t="s">
        <v>1152</v>
      </c>
      <c r="G587" s="2">
        <v>2</v>
      </c>
      <c r="H587" s="2">
        <v>129</v>
      </c>
      <c r="I587" t="s">
        <v>11</v>
      </c>
      <c r="J587" s="9"/>
      <c r="K587" t="str">
        <f t="shared" si="9"/>
        <v>SUBSCRIPTION</v>
      </c>
    </row>
    <row r="588" spans="1:11" x14ac:dyDescent="0.25">
      <c r="A588" t="s">
        <v>1149</v>
      </c>
      <c r="B588" s="8">
        <v>45778</v>
      </c>
      <c r="C588" t="s">
        <v>648</v>
      </c>
      <c r="D588" t="s">
        <v>10</v>
      </c>
      <c r="E588" t="s">
        <v>607</v>
      </c>
      <c r="F588" t="s">
        <v>978</v>
      </c>
      <c r="G588" s="2">
        <v>1</v>
      </c>
      <c r="H588" s="2">
        <v>129</v>
      </c>
      <c r="I588" t="s">
        <v>34</v>
      </c>
      <c r="J588" s="9"/>
      <c r="K588" t="str">
        <f t="shared" si="9"/>
        <v>SUBSCRIPTION</v>
      </c>
    </row>
    <row r="589" spans="1:11" x14ac:dyDescent="0.25">
      <c r="A589" t="s">
        <v>1153</v>
      </c>
      <c r="B589" s="8">
        <v>45778</v>
      </c>
      <c r="C589" t="s">
        <v>648</v>
      </c>
      <c r="D589" t="s">
        <v>18</v>
      </c>
      <c r="E589" t="s">
        <v>607</v>
      </c>
      <c r="F589" t="s">
        <v>658</v>
      </c>
      <c r="G589" s="2">
        <v>1</v>
      </c>
      <c r="H589" s="2">
        <v>149</v>
      </c>
      <c r="I589" t="s">
        <v>34</v>
      </c>
      <c r="J589" s="9"/>
      <c r="K589" t="str">
        <f t="shared" si="9"/>
        <v>SUBSCRIPTION</v>
      </c>
    </row>
    <row r="590" spans="1:11" hidden="1" x14ac:dyDescent="0.25">
      <c r="A590" t="s">
        <v>1154</v>
      </c>
      <c r="B590" s="8">
        <v>45778</v>
      </c>
      <c r="C590" t="s">
        <v>648</v>
      </c>
      <c r="D590" t="s">
        <v>10</v>
      </c>
      <c r="E590" t="s">
        <v>623</v>
      </c>
      <c r="F590" t="s">
        <v>431</v>
      </c>
      <c r="G590" s="2">
        <v>2</v>
      </c>
      <c r="H590" s="2">
        <v>420</v>
      </c>
      <c r="I590" t="s">
        <v>34</v>
      </c>
      <c r="J590" s="9"/>
      <c r="K590" t="str">
        <f t="shared" si="9"/>
        <v>REGULAR</v>
      </c>
    </row>
    <row r="591" spans="1:11" hidden="1" x14ac:dyDescent="0.25">
      <c r="F591" t="s">
        <v>673</v>
      </c>
      <c r="G591" s="2">
        <v>2</v>
      </c>
      <c r="I591" t="s">
        <v>11</v>
      </c>
      <c r="J591" s="9"/>
      <c r="K591" t="str">
        <f t="shared" si="9"/>
        <v>REGULAR</v>
      </c>
    </row>
    <row r="592" spans="1:11" hidden="1" x14ac:dyDescent="0.25">
      <c r="A592" t="s">
        <v>1155</v>
      </c>
      <c r="B592" s="8">
        <v>45778</v>
      </c>
      <c r="C592" t="s">
        <v>648</v>
      </c>
      <c r="D592" t="s">
        <v>10</v>
      </c>
      <c r="E592" t="s">
        <v>623</v>
      </c>
      <c r="F592" t="s">
        <v>999</v>
      </c>
      <c r="G592" s="2">
        <v>1</v>
      </c>
      <c r="H592" s="2">
        <v>220</v>
      </c>
      <c r="I592" t="s">
        <v>11</v>
      </c>
      <c r="J592" s="9"/>
      <c r="K592" t="str">
        <f t="shared" si="9"/>
        <v>REGULAR</v>
      </c>
    </row>
    <row r="593" spans="1:11" hidden="1" x14ac:dyDescent="0.25">
      <c r="F593" t="s">
        <v>488</v>
      </c>
      <c r="G593" s="2">
        <v>1</v>
      </c>
      <c r="I593" t="s">
        <v>11</v>
      </c>
      <c r="J593" s="9"/>
      <c r="K593" t="str">
        <f t="shared" si="9"/>
        <v>REGULAR</v>
      </c>
    </row>
    <row r="594" spans="1:11" hidden="1" x14ac:dyDescent="0.25">
      <c r="F594" t="s">
        <v>492</v>
      </c>
      <c r="G594" s="2">
        <v>1</v>
      </c>
      <c r="I594" t="s">
        <v>11</v>
      </c>
      <c r="J594" s="9"/>
      <c r="K594" t="str">
        <f t="shared" si="9"/>
        <v>REGULAR</v>
      </c>
    </row>
    <row r="595" spans="1:11" hidden="1" x14ac:dyDescent="0.25">
      <c r="A595" t="s">
        <v>1156</v>
      </c>
      <c r="B595" s="8">
        <v>45778</v>
      </c>
      <c r="C595" t="s">
        <v>648</v>
      </c>
      <c r="D595" t="s">
        <v>10</v>
      </c>
      <c r="E595" t="s">
        <v>623</v>
      </c>
      <c r="F595" t="s">
        <v>406</v>
      </c>
      <c r="G595" s="2">
        <v>1</v>
      </c>
      <c r="H595" s="2">
        <v>410</v>
      </c>
      <c r="I595" t="s">
        <v>34</v>
      </c>
      <c r="J595" s="9"/>
      <c r="K595" t="str">
        <f t="shared" si="9"/>
        <v>REGULAR</v>
      </c>
    </row>
    <row r="596" spans="1:11" hidden="1" x14ac:dyDescent="0.25">
      <c r="F596" t="s">
        <v>428</v>
      </c>
      <c r="G596" s="2">
        <v>1</v>
      </c>
      <c r="I596" t="s">
        <v>11</v>
      </c>
      <c r="J596" s="9"/>
      <c r="K596" t="str">
        <f t="shared" si="9"/>
        <v>REGULAR</v>
      </c>
    </row>
    <row r="597" spans="1:11" hidden="1" x14ac:dyDescent="0.25">
      <c r="F597" t="s">
        <v>497</v>
      </c>
      <c r="G597" s="2">
        <v>1</v>
      </c>
      <c r="I597" t="s">
        <v>11</v>
      </c>
      <c r="J597" s="9"/>
      <c r="K597" t="str">
        <f t="shared" si="9"/>
        <v>REGULAR</v>
      </c>
    </row>
    <row r="598" spans="1:11" hidden="1" x14ac:dyDescent="0.25">
      <c r="F598" t="s">
        <v>491</v>
      </c>
      <c r="G598" s="2">
        <v>1</v>
      </c>
      <c r="I598" t="s">
        <v>11</v>
      </c>
      <c r="J598" s="9"/>
      <c r="K598" t="str">
        <f t="shared" si="9"/>
        <v>REGULAR</v>
      </c>
    </row>
    <row r="599" spans="1:11" hidden="1" x14ac:dyDescent="0.25">
      <c r="F599" t="s">
        <v>71</v>
      </c>
      <c r="G599" s="2">
        <v>1</v>
      </c>
      <c r="I599" t="s">
        <v>11</v>
      </c>
      <c r="J599" s="9"/>
      <c r="K599" t="str">
        <f t="shared" si="9"/>
        <v>REGULAR</v>
      </c>
    </row>
    <row r="600" spans="1:11" hidden="1" x14ac:dyDescent="0.25">
      <c r="A600" t="s">
        <v>1157</v>
      </c>
      <c r="B600" s="8">
        <v>45778</v>
      </c>
      <c r="C600" t="s">
        <v>648</v>
      </c>
      <c r="D600" t="s">
        <v>10</v>
      </c>
      <c r="E600" t="s">
        <v>623</v>
      </c>
      <c r="F600" t="s">
        <v>395</v>
      </c>
      <c r="G600" s="2">
        <v>1</v>
      </c>
      <c r="H600" s="2">
        <v>350</v>
      </c>
      <c r="I600" t="s">
        <v>34</v>
      </c>
      <c r="J600" s="9"/>
      <c r="K600" t="str">
        <f t="shared" si="9"/>
        <v>REGULAR</v>
      </c>
    </row>
    <row r="601" spans="1:11" hidden="1" x14ac:dyDescent="0.25">
      <c r="F601" t="s">
        <v>392</v>
      </c>
      <c r="G601" s="2">
        <v>1</v>
      </c>
      <c r="I601" t="s">
        <v>34</v>
      </c>
      <c r="J601" s="9"/>
      <c r="K601" t="str">
        <f t="shared" si="9"/>
        <v>REGULAR</v>
      </c>
    </row>
    <row r="602" spans="1:11" hidden="1" x14ac:dyDescent="0.25">
      <c r="A602" t="s">
        <v>1158</v>
      </c>
      <c r="B602" s="8">
        <v>45778</v>
      </c>
      <c r="C602" t="s">
        <v>648</v>
      </c>
      <c r="D602" t="s">
        <v>10</v>
      </c>
      <c r="E602" t="s">
        <v>623</v>
      </c>
      <c r="F602" t="s">
        <v>426</v>
      </c>
      <c r="G602" s="2">
        <v>1</v>
      </c>
      <c r="H602" s="2">
        <v>510</v>
      </c>
      <c r="I602" t="s">
        <v>34</v>
      </c>
      <c r="J602" s="9"/>
      <c r="K602" t="str">
        <f t="shared" si="9"/>
        <v>REGULAR</v>
      </c>
    </row>
    <row r="603" spans="1:11" hidden="1" x14ac:dyDescent="0.25">
      <c r="F603" t="s">
        <v>392</v>
      </c>
      <c r="G603" s="2">
        <v>1</v>
      </c>
      <c r="I603" t="s">
        <v>34</v>
      </c>
      <c r="J603" s="9"/>
      <c r="K603" t="str">
        <f t="shared" si="9"/>
        <v>REGULAR</v>
      </c>
    </row>
    <row r="604" spans="1:11" hidden="1" x14ac:dyDescent="0.25">
      <c r="F604" t="s">
        <v>672</v>
      </c>
      <c r="G604" s="2">
        <v>1</v>
      </c>
      <c r="I604" t="s">
        <v>11</v>
      </c>
      <c r="J604" s="9"/>
      <c r="K604" t="str">
        <f t="shared" si="9"/>
        <v>REGULAR</v>
      </c>
    </row>
    <row r="605" spans="1:11" hidden="1" x14ac:dyDescent="0.25">
      <c r="A605" t="s">
        <v>1160</v>
      </c>
      <c r="B605" s="8">
        <v>45778</v>
      </c>
      <c r="C605" t="s">
        <v>648</v>
      </c>
      <c r="D605" t="s">
        <v>10</v>
      </c>
      <c r="E605" t="s">
        <v>623</v>
      </c>
      <c r="F605" t="s">
        <v>405</v>
      </c>
      <c r="G605" s="2">
        <v>1</v>
      </c>
      <c r="H605" s="2">
        <v>505</v>
      </c>
      <c r="I605" t="s">
        <v>34</v>
      </c>
      <c r="J605" s="9"/>
      <c r="K605" t="str">
        <f t="shared" si="9"/>
        <v>REGULAR</v>
      </c>
    </row>
    <row r="606" spans="1:11" hidden="1" x14ac:dyDescent="0.25">
      <c r="F606" t="s">
        <v>471</v>
      </c>
      <c r="G606" s="2">
        <v>1</v>
      </c>
      <c r="I606" t="s">
        <v>34</v>
      </c>
      <c r="J606" s="9"/>
      <c r="K606" t="str">
        <f t="shared" si="9"/>
        <v>REGULAR</v>
      </c>
    </row>
    <row r="607" spans="1:11" hidden="1" x14ac:dyDescent="0.25">
      <c r="F607" t="s">
        <v>395</v>
      </c>
      <c r="G607" s="2">
        <v>1</v>
      </c>
      <c r="I607" t="s">
        <v>34</v>
      </c>
      <c r="J607" s="9"/>
      <c r="K607" t="str">
        <f t="shared" si="9"/>
        <v>REGULAR</v>
      </c>
    </row>
    <row r="608" spans="1:11" hidden="1" x14ac:dyDescent="0.25">
      <c r="F608" t="s">
        <v>475</v>
      </c>
      <c r="G608" s="2">
        <v>1</v>
      </c>
      <c r="I608" t="s">
        <v>11</v>
      </c>
      <c r="J608" s="9"/>
      <c r="K608" t="str">
        <f t="shared" si="9"/>
        <v>REGULAR</v>
      </c>
    </row>
    <row r="609" spans="1:11" hidden="1" x14ac:dyDescent="0.25">
      <c r="A609" t="s">
        <v>1159</v>
      </c>
      <c r="B609" s="8">
        <v>45778</v>
      </c>
      <c r="C609" t="s">
        <v>648</v>
      </c>
      <c r="D609" t="s">
        <v>10</v>
      </c>
      <c r="E609" t="s">
        <v>623</v>
      </c>
      <c r="F609" t="s">
        <v>471</v>
      </c>
      <c r="G609" s="2">
        <v>2</v>
      </c>
      <c r="H609" s="2">
        <v>340</v>
      </c>
      <c r="I609" t="s">
        <v>34</v>
      </c>
      <c r="J609" s="9"/>
      <c r="K609" t="str">
        <f t="shared" si="9"/>
        <v>REGULAR</v>
      </c>
    </row>
    <row r="610" spans="1:11" hidden="1" x14ac:dyDescent="0.25">
      <c r="A610" t="s">
        <v>1161</v>
      </c>
      <c r="B610" s="8">
        <v>45778</v>
      </c>
      <c r="C610" t="s">
        <v>648</v>
      </c>
      <c r="D610" t="s">
        <v>10</v>
      </c>
      <c r="E610" t="s">
        <v>623</v>
      </c>
      <c r="F610" t="s">
        <v>402</v>
      </c>
      <c r="G610" s="2">
        <v>1</v>
      </c>
      <c r="H610" s="2">
        <v>170</v>
      </c>
      <c r="I610" t="s">
        <v>34</v>
      </c>
      <c r="J610" s="9"/>
      <c r="K610" t="str">
        <f t="shared" si="9"/>
        <v>REGULAR</v>
      </c>
    </row>
    <row r="611" spans="1:11" x14ac:dyDescent="0.25">
      <c r="A611" t="s">
        <v>1162</v>
      </c>
      <c r="B611" s="8">
        <v>45779</v>
      </c>
      <c r="C611" t="s">
        <v>678</v>
      </c>
      <c r="D611" t="s">
        <v>21</v>
      </c>
      <c r="E611" t="s">
        <v>607</v>
      </c>
      <c r="F611" t="s">
        <v>680</v>
      </c>
      <c r="G611" s="2">
        <v>1</v>
      </c>
      <c r="H611" s="2">
        <v>99</v>
      </c>
      <c r="I611" t="s">
        <v>11</v>
      </c>
      <c r="J611" s="9"/>
      <c r="K611" t="str">
        <f t="shared" si="9"/>
        <v>SUBSCRIPTION</v>
      </c>
    </row>
    <row r="612" spans="1:11" x14ac:dyDescent="0.25">
      <c r="A612" t="s">
        <v>1163</v>
      </c>
      <c r="B612" s="8">
        <v>45779</v>
      </c>
      <c r="C612" t="s">
        <v>678</v>
      </c>
      <c r="D612" t="s">
        <v>18</v>
      </c>
      <c r="E612" t="s">
        <v>607</v>
      </c>
      <c r="F612" t="s">
        <v>993</v>
      </c>
      <c r="G612" s="2">
        <v>2</v>
      </c>
      <c r="H612" s="2">
        <f>2*99</f>
        <v>198</v>
      </c>
      <c r="I612" t="s">
        <v>11</v>
      </c>
      <c r="J612" s="9"/>
      <c r="K612" t="str">
        <f t="shared" si="9"/>
        <v>SUBSCRIPTION</v>
      </c>
    </row>
    <row r="613" spans="1:11" x14ac:dyDescent="0.25">
      <c r="A613" t="s">
        <v>1164</v>
      </c>
      <c r="B613" s="8">
        <v>45779</v>
      </c>
      <c r="C613" t="s">
        <v>678</v>
      </c>
      <c r="D613" t="s">
        <v>10</v>
      </c>
      <c r="E613" t="s">
        <v>607</v>
      </c>
      <c r="F613" t="s">
        <v>1166</v>
      </c>
      <c r="G613" s="2">
        <v>2</v>
      </c>
      <c r="H613" s="2">
        <v>99</v>
      </c>
      <c r="I613" t="s">
        <v>11</v>
      </c>
      <c r="J613" s="9"/>
      <c r="K613" t="str">
        <f t="shared" si="9"/>
        <v>SUBSCRIPTION</v>
      </c>
    </row>
    <row r="614" spans="1:11" x14ac:dyDescent="0.25">
      <c r="A614" t="s">
        <v>1165</v>
      </c>
      <c r="B614" s="8">
        <v>45779</v>
      </c>
      <c r="C614" t="s">
        <v>678</v>
      </c>
      <c r="D614" t="s">
        <v>10</v>
      </c>
      <c r="E614" t="s">
        <v>607</v>
      </c>
      <c r="F614" t="s">
        <v>988</v>
      </c>
      <c r="G614" s="2">
        <v>1</v>
      </c>
      <c r="H614" s="2">
        <v>129</v>
      </c>
      <c r="I614" t="s">
        <v>34</v>
      </c>
      <c r="J614" s="9"/>
      <c r="K614" t="str">
        <f t="shared" si="9"/>
        <v>SUBSCRIPTION</v>
      </c>
    </row>
    <row r="615" spans="1:11" x14ac:dyDescent="0.25">
      <c r="A615" t="s">
        <v>1167</v>
      </c>
      <c r="B615" s="8">
        <v>45779</v>
      </c>
      <c r="C615" t="s">
        <v>678</v>
      </c>
      <c r="D615" t="s">
        <v>18</v>
      </c>
      <c r="E615" t="s">
        <v>607</v>
      </c>
      <c r="F615" t="s">
        <v>1084</v>
      </c>
      <c r="G615" s="2">
        <v>1</v>
      </c>
      <c r="H615" s="2">
        <v>129</v>
      </c>
      <c r="I615" t="s">
        <v>34</v>
      </c>
      <c r="J615" s="9"/>
      <c r="K615" t="str">
        <f t="shared" si="9"/>
        <v>SUBSCRIPTION</v>
      </c>
    </row>
    <row r="616" spans="1:11" x14ac:dyDescent="0.25">
      <c r="A616" t="s">
        <v>1168</v>
      </c>
      <c r="B616" s="8">
        <v>45779</v>
      </c>
      <c r="C616" t="s">
        <v>678</v>
      </c>
      <c r="D616" t="s">
        <v>18</v>
      </c>
      <c r="E616" t="s">
        <v>607</v>
      </c>
      <c r="F616" t="s">
        <v>993</v>
      </c>
      <c r="G616" s="2">
        <v>1</v>
      </c>
      <c r="H616" s="2">
        <v>99</v>
      </c>
      <c r="I616" t="s">
        <v>11</v>
      </c>
      <c r="J616" s="9"/>
      <c r="K616" t="str">
        <f t="shared" si="9"/>
        <v>SUBSCRIPTION</v>
      </c>
    </row>
    <row r="617" spans="1:11" hidden="1" x14ac:dyDescent="0.25">
      <c r="A617" t="s">
        <v>1169</v>
      </c>
      <c r="B617" s="8">
        <v>45779</v>
      </c>
      <c r="C617" t="s">
        <v>678</v>
      </c>
      <c r="D617" t="s">
        <v>10</v>
      </c>
      <c r="E617" t="s">
        <v>623</v>
      </c>
      <c r="F617" t="s">
        <v>450</v>
      </c>
      <c r="G617" s="2">
        <v>1</v>
      </c>
      <c r="H617" s="2">
        <v>250</v>
      </c>
      <c r="I617" t="s">
        <v>11</v>
      </c>
      <c r="J617" s="9"/>
      <c r="K617" t="str">
        <f t="shared" si="9"/>
        <v>REGULAR</v>
      </c>
    </row>
    <row r="618" spans="1:11" hidden="1" x14ac:dyDescent="0.25">
      <c r="F618" t="s">
        <v>497</v>
      </c>
      <c r="G618" s="2">
        <v>1</v>
      </c>
      <c r="I618" t="s">
        <v>11</v>
      </c>
      <c r="J618" s="9"/>
      <c r="K618" t="str">
        <f t="shared" si="9"/>
        <v>REGULAR</v>
      </c>
    </row>
    <row r="619" spans="1:11" hidden="1" x14ac:dyDescent="0.25">
      <c r="F619" t="s">
        <v>406</v>
      </c>
      <c r="G619" s="2">
        <v>1</v>
      </c>
      <c r="I619" t="s">
        <v>34</v>
      </c>
      <c r="J619" s="9"/>
      <c r="K619" t="str">
        <f t="shared" si="9"/>
        <v>REGULAR</v>
      </c>
    </row>
    <row r="620" spans="1:11" hidden="1" x14ac:dyDescent="0.25">
      <c r="A620" t="s">
        <v>1170</v>
      </c>
      <c r="B620" s="8">
        <v>45779</v>
      </c>
      <c r="C620" t="s">
        <v>678</v>
      </c>
      <c r="D620" t="s">
        <v>10</v>
      </c>
      <c r="E620" t="s">
        <v>623</v>
      </c>
      <c r="F620" t="s">
        <v>395</v>
      </c>
      <c r="G620" s="2">
        <v>1</v>
      </c>
      <c r="H620" s="2">
        <v>310</v>
      </c>
      <c r="I620" t="s">
        <v>34</v>
      </c>
      <c r="J620" s="9"/>
      <c r="K620" t="str">
        <f t="shared" si="9"/>
        <v>REGULAR</v>
      </c>
    </row>
    <row r="621" spans="1:11" hidden="1" x14ac:dyDescent="0.25">
      <c r="F621" t="s">
        <v>391</v>
      </c>
      <c r="G621" s="2">
        <v>1</v>
      </c>
      <c r="I621" t="s">
        <v>34</v>
      </c>
      <c r="J621" s="9"/>
      <c r="K621" t="str">
        <f t="shared" si="9"/>
        <v>REGULAR</v>
      </c>
    </row>
    <row r="622" spans="1:11" hidden="1" x14ac:dyDescent="0.25">
      <c r="A622" t="s">
        <v>1171</v>
      </c>
      <c r="B622" s="8">
        <v>45779</v>
      </c>
      <c r="C622" t="s">
        <v>678</v>
      </c>
      <c r="D622" t="s">
        <v>10</v>
      </c>
      <c r="E622" t="s">
        <v>623</v>
      </c>
      <c r="F622" t="s">
        <v>673</v>
      </c>
      <c r="G622" s="2">
        <v>1</v>
      </c>
      <c r="H622" s="2">
        <v>200</v>
      </c>
      <c r="I622" t="s">
        <v>11</v>
      </c>
      <c r="J622" s="9"/>
      <c r="K622" t="str">
        <f t="shared" si="9"/>
        <v>REGULAR</v>
      </c>
    </row>
    <row r="623" spans="1:11" hidden="1" x14ac:dyDescent="0.25">
      <c r="F623" t="s">
        <v>481</v>
      </c>
      <c r="G623" s="2">
        <v>1</v>
      </c>
      <c r="I623" t="s">
        <v>34</v>
      </c>
      <c r="J623" s="9"/>
      <c r="K623" t="str">
        <f t="shared" si="9"/>
        <v>REGULAR</v>
      </c>
    </row>
    <row r="624" spans="1:11" hidden="1" x14ac:dyDescent="0.25">
      <c r="A624" t="s">
        <v>1172</v>
      </c>
      <c r="B624" s="8">
        <v>45779</v>
      </c>
      <c r="C624" t="s">
        <v>678</v>
      </c>
      <c r="D624" t="s">
        <v>10</v>
      </c>
      <c r="E624" t="s">
        <v>623</v>
      </c>
      <c r="F624" t="s">
        <v>1117</v>
      </c>
      <c r="G624" s="2">
        <v>1</v>
      </c>
      <c r="H624" s="2">
        <v>190</v>
      </c>
      <c r="I624" t="s">
        <v>34</v>
      </c>
      <c r="J624" s="9"/>
      <c r="K624" t="str">
        <f t="shared" si="9"/>
        <v>REGULAR</v>
      </c>
    </row>
    <row r="625" spans="1:11" hidden="1" x14ac:dyDescent="0.25">
      <c r="A625" t="s">
        <v>1173</v>
      </c>
      <c r="B625" s="8">
        <v>45779</v>
      </c>
      <c r="C625" t="s">
        <v>678</v>
      </c>
      <c r="D625" t="s">
        <v>10</v>
      </c>
      <c r="E625" t="s">
        <v>623</v>
      </c>
      <c r="F625" t="s">
        <v>405</v>
      </c>
      <c r="G625" s="2">
        <v>1</v>
      </c>
      <c r="H625" s="2">
        <v>190</v>
      </c>
      <c r="I625" t="s">
        <v>34</v>
      </c>
      <c r="J625" s="9"/>
      <c r="K625" t="str">
        <f t="shared" si="9"/>
        <v>REGULAR</v>
      </c>
    </row>
    <row r="626" spans="1:11" hidden="1" x14ac:dyDescent="0.25">
      <c r="F626" t="s">
        <v>1174</v>
      </c>
      <c r="G626" s="2">
        <v>1</v>
      </c>
      <c r="I626" t="s">
        <v>34</v>
      </c>
      <c r="J626" s="9"/>
      <c r="K626" t="str">
        <f t="shared" si="9"/>
        <v>REGULAR</v>
      </c>
    </row>
    <row r="627" spans="1:11" hidden="1" x14ac:dyDescent="0.25">
      <c r="A627" t="s">
        <v>1175</v>
      </c>
      <c r="B627" s="8">
        <v>45779</v>
      </c>
      <c r="C627" t="s">
        <v>678</v>
      </c>
      <c r="D627" t="s">
        <v>10</v>
      </c>
      <c r="E627" t="s">
        <v>623</v>
      </c>
      <c r="F627" t="s">
        <v>428</v>
      </c>
      <c r="G627" s="2">
        <v>1</v>
      </c>
      <c r="H627" s="2">
        <v>270</v>
      </c>
      <c r="I627" t="s">
        <v>11</v>
      </c>
      <c r="J627" s="9"/>
      <c r="K627" t="str">
        <f t="shared" si="9"/>
        <v>REGULAR</v>
      </c>
    </row>
    <row r="628" spans="1:11" hidden="1" x14ac:dyDescent="0.25">
      <c r="F628" t="s">
        <v>497</v>
      </c>
      <c r="G628" s="2">
        <v>1</v>
      </c>
      <c r="I628" t="s">
        <v>11</v>
      </c>
      <c r="J628" s="9"/>
      <c r="K628" t="str">
        <f t="shared" si="9"/>
        <v>REGULAR</v>
      </c>
    </row>
    <row r="629" spans="1:11" hidden="1" x14ac:dyDescent="0.25">
      <c r="F629" t="s">
        <v>699</v>
      </c>
      <c r="G629" s="2">
        <v>1</v>
      </c>
      <c r="I629" t="s">
        <v>11</v>
      </c>
      <c r="J629" s="9"/>
      <c r="K629" t="str">
        <f t="shared" si="9"/>
        <v>REGULAR</v>
      </c>
    </row>
    <row r="630" spans="1:11" hidden="1" x14ac:dyDescent="0.25">
      <c r="A630" t="s">
        <v>1176</v>
      </c>
      <c r="B630" s="8">
        <v>45779</v>
      </c>
      <c r="C630" t="s">
        <v>678</v>
      </c>
      <c r="D630" t="s">
        <v>10</v>
      </c>
      <c r="E630" t="s">
        <v>623</v>
      </c>
      <c r="F630" t="s">
        <v>391</v>
      </c>
      <c r="G630" s="2">
        <v>1</v>
      </c>
      <c r="H630" s="2">
        <v>310</v>
      </c>
      <c r="I630" t="s">
        <v>34</v>
      </c>
      <c r="J630" s="9"/>
      <c r="K630" t="str">
        <f t="shared" si="9"/>
        <v>REGULAR</v>
      </c>
    </row>
    <row r="631" spans="1:11" hidden="1" x14ac:dyDescent="0.25">
      <c r="F631" t="s">
        <v>395</v>
      </c>
      <c r="G631" s="2">
        <v>1</v>
      </c>
      <c r="I631" t="s">
        <v>34</v>
      </c>
      <c r="J631" s="9"/>
      <c r="K631" t="str">
        <f t="shared" si="9"/>
        <v>REGULAR</v>
      </c>
    </row>
    <row r="632" spans="1:11" hidden="1" x14ac:dyDescent="0.25">
      <c r="A632" t="s">
        <v>1177</v>
      </c>
      <c r="B632" s="8">
        <v>45779</v>
      </c>
      <c r="C632" t="s">
        <v>678</v>
      </c>
      <c r="D632" t="s">
        <v>10</v>
      </c>
      <c r="E632" t="s">
        <v>623</v>
      </c>
      <c r="F632" t="s">
        <v>428</v>
      </c>
      <c r="G632" s="2">
        <v>1</v>
      </c>
      <c r="H632" s="2">
        <v>405</v>
      </c>
      <c r="I632" t="s">
        <v>11</v>
      </c>
      <c r="J632" s="9"/>
      <c r="K632" t="str">
        <f t="shared" si="9"/>
        <v>REGULAR</v>
      </c>
    </row>
    <row r="633" spans="1:11" hidden="1" x14ac:dyDescent="0.25">
      <c r="F633" t="s">
        <v>721</v>
      </c>
      <c r="G633" s="2">
        <v>1</v>
      </c>
      <c r="I633" t="s">
        <v>11</v>
      </c>
      <c r="J633" s="9"/>
      <c r="K633" t="str">
        <f t="shared" si="9"/>
        <v>REGULAR</v>
      </c>
    </row>
    <row r="634" spans="1:11" hidden="1" x14ac:dyDescent="0.25">
      <c r="F634" t="s">
        <v>488</v>
      </c>
      <c r="G634" s="2">
        <v>1</v>
      </c>
      <c r="I634" t="s">
        <v>11</v>
      </c>
      <c r="J634" s="9"/>
      <c r="K634" t="str">
        <f t="shared" si="9"/>
        <v>REGULAR</v>
      </c>
    </row>
    <row r="635" spans="1:11" hidden="1" x14ac:dyDescent="0.25">
      <c r="F635" t="s">
        <v>452</v>
      </c>
      <c r="G635" s="2">
        <v>1</v>
      </c>
      <c r="I635" t="s">
        <v>11</v>
      </c>
      <c r="J635" s="9"/>
      <c r="K635" t="str">
        <f t="shared" si="9"/>
        <v>REGULAR</v>
      </c>
    </row>
    <row r="636" spans="1:11" hidden="1" x14ac:dyDescent="0.25">
      <c r="F636" t="s">
        <v>789</v>
      </c>
      <c r="G636" s="2">
        <v>1</v>
      </c>
      <c r="I636" t="s">
        <v>11</v>
      </c>
      <c r="J636" s="9"/>
      <c r="K636" t="str">
        <f t="shared" si="9"/>
        <v>REGULAR</v>
      </c>
    </row>
    <row r="637" spans="1:11" hidden="1" x14ac:dyDescent="0.25">
      <c r="A637" t="s">
        <v>1178</v>
      </c>
      <c r="B637" s="8">
        <v>45779</v>
      </c>
      <c r="C637" t="s">
        <v>678</v>
      </c>
      <c r="D637" t="s">
        <v>10</v>
      </c>
      <c r="E637" t="s">
        <v>623</v>
      </c>
      <c r="F637" t="s">
        <v>469</v>
      </c>
      <c r="G637" s="2">
        <v>1</v>
      </c>
      <c r="H637" s="2">
        <v>170</v>
      </c>
      <c r="I637" t="s">
        <v>34</v>
      </c>
      <c r="J637" s="9"/>
      <c r="K637" t="str">
        <f t="shared" si="9"/>
        <v>REGULAR</v>
      </c>
    </row>
    <row r="638" spans="1:11" x14ac:dyDescent="0.25">
      <c r="A638" t="s">
        <v>1179</v>
      </c>
      <c r="B638" s="8">
        <v>45780</v>
      </c>
      <c r="C638" t="s">
        <v>703</v>
      </c>
      <c r="D638" t="s">
        <v>18</v>
      </c>
      <c r="E638" t="s">
        <v>607</v>
      </c>
      <c r="F638" t="s">
        <v>1093</v>
      </c>
      <c r="G638" s="2">
        <v>1</v>
      </c>
      <c r="H638" s="2">
        <v>149</v>
      </c>
      <c r="I638" t="s">
        <v>34</v>
      </c>
      <c r="J638" s="9"/>
      <c r="K638" t="str">
        <f t="shared" si="9"/>
        <v>SUBSCRIPTION</v>
      </c>
    </row>
    <row r="639" spans="1:11" x14ac:dyDescent="0.25">
      <c r="A639" t="s">
        <v>1180</v>
      </c>
      <c r="B639" s="8">
        <v>45780</v>
      </c>
      <c r="C639" t="s">
        <v>703</v>
      </c>
      <c r="D639" t="s">
        <v>10</v>
      </c>
      <c r="E639" t="s">
        <v>607</v>
      </c>
      <c r="F639" t="s">
        <v>1181</v>
      </c>
      <c r="G639" s="2">
        <v>2</v>
      </c>
      <c r="H639" s="2">
        <v>129</v>
      </c>
      <c r="I639" t="s">
        <v>11</v>
      </c>
      <c r="J639" s="9"/>
      <c r="K639" t="str">
        <f t="shared" si="9"/>
        <v>SUBSCRIPTION</v>
      </c>
    </row>
    <row r="640" spans="1:11" hidden="1" x14ac:dyDescent="0.25">
      <c r="A640" t="s">
        <v>1182</v>
      </c>
      <c r="B640" s="8">
        <v>45781</v>
      </c>
      <c r="C640" t="s">
        <v>724</v>
      </c>
      <c r="D640" t="s">
        <v>10</v>
      </c>
      <c r="E640" t="s">
        <v>623</v>
      </c>
      <c r="F640" t="s">
        <v>438</v>
      </c>
      <c r="G640" s="2">
        <v>1</v>
      </c>
      <c r="H640" s="2">
        <v>280</v>
      </c>
      <c r="I640" t="s">
        <v>34</v>
      </c>
      <c r="J640" s="9"/>
      <c r="K640" t="str">
        <f t="shared" si="9"/>
        <v>REGULAR</v>
      </c>
    </row>
    <row r="641" spans="1:11" x14ac:dyDescent="0.25">
      <c r="A641" t="s">
        <v>1183</v>
      </c>
      <c r="B641" s="8">
        <v>45782</v>
      </c>
      <c r="C641" t="s">
        <v>736</v>
      </c>
      <c r="D641" t="s">
        <v>10</v>
      </c>
      <c r="E641" t="s">
        <v>607</v>
      </c>
      <c r="F641" t="s">
        <v>926</v>
      </c>
      <c r="G641" s="2">
        <v>1</v>
      </c>
      <c r="H641" s="2">
        <v>129</v>
      </c>
      <c r="I641" t="s">
        <v>11</v>
      </c>
      <c r="J641" s="9"/>
      <c r="K641" t="str">
        <f t="shared" si="9"/>
        <v>SUBSCRIPTION</v>
      </c>
    </row>
    <row r="642" spans="1:11" hidden="1" x14ac:dyDescent="0.25">
      <c r="A642" t="s">
        <v>1184</v>
      </c>
      <c r="B642" s="8">
        <v>45782</v>
      </c>
      <c r="C642" t="s">
        <v>736</v>
      </c>
      <c r="D642" t="s">
        <v>10</v>
      </c>
      <c r="E642" t="s">
        <v>623</v>
      </c>
      <c r="F642" t="s">
        <v>983</v>
      </c>
      <c r="G642" s="2">
        <v>1</v>
      </c>
      <c r="H642" s="2">
        <v>160</v>
      </c>
      <c r="I642" t="s">
        <v>11</v>
      </c>
      <c r="J642" s="9"/>
      <c r="K642" t="str">
        <f t="shared" ref="K642:K705" si="10">IF(E642&lt;&gt;"", E642, K641)</f>
        <v>REGULAR</v>
      </c>
    </row>
    <row r="643" spans="1:11" x14ac:dyDescent="0.25">
      <c r="A643" t="s">
        <v>1185</v>
      </c>
      <c r="B643" s="8">
        <v>45783</v>
      </c>
      <c r="C643" t="s">
        <v>606</v>
      </c>
      <c r="D643" t="s">
        <v>10</v>
      </c>
      <c r="E643" t="s">
        <v>607</v>
      </c>
      <c r="F643" t="s">
        <v>934</v>
      </c>
      <c r="G643" s="2">
        <v>1</v>
      </c>
      <c r="H643" s="2">
        <v>129</v>
      </c>
      <c r="I643" t="s">
        <v>11</v>
      </c>
      <c r="J643" s="9"/>
      <c r="K643" t="str">
        <f t="shared" si="10"/>
        <v>SUBSCRIPTION</v>
      </c>
    </row>
    <row r="644" spans="1:11" hidden="1" x14ac:dyDescent="0.25">
      <c r="A644" t="s">
        <v>1186</v>
      </c>
      <c r="B644" s="8">
        <v>45783</v>
      </c>
      <c r="C644" t="s">
        <v>606</v>
      </c>
      <c r="D644" t="s">
        <v>10</v>
      </c>
      <c r="E644" t="s">
        <v>623</v>
      </c>
      <c r="F644" t="s">
        <v>392</v>
      </c>
      <c r="G644" s="2">
        <v>1</v>
      </c>
      <c r="H644" s="2">
        <v>190</v>
      </c>
      <c r="I644" t="s">
        <v>34</v>
      </c>
      <c r="J644" s="9"/>
      <c r="K644" t="str">
        <f t="shared" si="10"/>
        <v>REGULAR</v>
      </c>
    </row>
    <row r="645" spans="1:11" hidden="1" x14ac:dyDescent="0.25">
      <c r="A645" t="s">
        <v>1187</v>
      </c>
      <c r="B645" s="8">
        <v>45783</v>
      </c>
      <c r="C645" t="s">
        <v>606</v>
      </c>
      <c r="D645" t="s">
        <v>10</v>
      </c>
      <c r="E645" t="s">
        <v>623</v>
      </c>
      <c r="F645" t="s">
        <v>497</v>
      </c>
      <c r="G645" s="2">
        <v>1</v>
      </c>
      <c r="H645" s="2">
        <v>425</v>
      </c>
      <c r="I645" t="s">
        <v>11</v>
      </c>
      <c r="J645" s="9"/>
      <c r="K645" t="str">
        <f t="shared" si="10"/>
        <v>REGULAR</v>
      </c>
    </row>
    <row r="646" spans="1:11" hidden="1" x14ac:dyDescent="0.25">
      <c r="F646" t="s">
        <v>71</v>
      </c>
      <c r="G646" s="2">
        <v>1</v>
      </c>
      <c r="I646" t="s">
        <v>11</v>
      </c>
      <c r="J646" s="9"/>
      <c r="K646" t="str">
        <f t="shared" si="10"/>
        <v>REGULAR</v>
      </c>
    </row>
    <row r="647" spans="1:11" hidden="1" x14ac:dyDescent="0.25">
      <c r="F647" t="s">
        <v>438</v>
      </c>
      <c r="G647" s="2">
        <v>1</v>
      </c>
      <c r="I647" t="s">
        <v>34</v>
      </c>
      <c r="J647" s="9"/>
      <c r="K647" t="str">
        <f t="shared" si="10"/>
        <v>REGULAR</v>
      </c>
    </row>
    <row r="648" spans="1:11" hidden="1" x14ac:dyDescent="0.25">
      <c r="A648" t="s">
        <v>1188</v>
      </c>
      <c r="B648" s="8">
        <v>45783</v>
      </c>
      <c r="C648" t="s">
        <v>606</v>
      </c>
      <c r="D648" t="s">
        <v>10</v>
      </c>
      <c r="E648" t="s">
        <v>623</v>
      </c>
      <c r="F648" t="s">
        <v>395</v>
      </c>
      <c r="G648" s="2">
        <v>2</v>
      </c>
      <c r="H648" s="2">
        <v>580</v>
      </c>
      <c r="I648" t="s">
        <v>34</v>
      </c>
      <c r="J648" s="9"/>
      <c r="K648" t="str">
        <f t="shared" si="10"/>
        <v>REGULAR</v>
      </c>
    </row>
    <row r="649" spans="1:11" hidden="1" x14ac:dyDescent="0.25">
      <c r="F649" t="s">
        <v>451</v>
      </c>
      <c r="G649" s="2">
        <v>2</v>
      </c>
      <c r="I649" t="s">
        <v>11</v>
      </c>
      <c r="J649" s="9"/>
      <c r="K649" t="str">
        <f t="shared" si="10"/>
        <v>REGULAR</v>
      </c>
    </row>
    <row r="650" spans="1:11" hidden="1" x14ac:dyDescent="0.25">
      <c r="A650" t="s">
        <v>1189</v>
      </c>
      <c r="B650" s="8">
        <v>45783</v>
      </c>
      <c r="C650" t="s">
        <v>606</v>
      </c>
      <c r="D650" t="s">
        <v>10</v>
      </c>
      <c r="E650" t="s">
        <v>623</v>
      </c>
      <c r="F650" t="s">
        <v>465</v>
      </c>
      <c r="G650" s="2">
        <v>1</v>
      </c>
      <c r="H650" s="2">
        <v>190</v>
      </c>
      <c r="I650" t="s">
        <v>34</v>
      </c>
      <c r="J650" s="9"/>
      <c r="K650" t="str">
        <f t="shared" si="10"/>
        <v>REGULAR</v>
      </c>
    </row>
    <row r="651" spans="1:11" hidden="1" x14ac:dyDescent="0.25">
      <c r="A651" t="s">
        <v>1190</v>
      </c>
      <c r="B651" s="8">
        <v>45783</v>
      </c>
      <c r="C651" t="s">
        <v>606</v>
      </c>
      <c r="D651" t="s">
        <v>10</v>
      </c>
      <c r="E651" t="s">
        <v>623</v>
      </c>
      <c r="F651" t="s">
        <v>77</v>
      </c>
      <c r="G651" s="2">
        <v>1</v>
      </c>
      <c r="H651" s="2">
        <v>470</v>
      </c>
      <c r="I651" t="s">
        <v>11</v>
      </c>
      <c r="J651" s="9"/>
      <c r="K651" t="str">
        <f t="shared" si="10"/>
        <v>REGULAR</v>
      </c>
    </row>
    <row r="652" spans="1:11" hidden="1" x14ac:dyDescent="0.25">
      <c r="F652" t="s">
        <v>71</v>
      </c>
      <c r="G652" s="2">
        <v>1</v>
      </c>
      <c r="I652" t="s">
        <v>11</v>
      </c>
      <c r="J652" s="9"/>
      <c r="K652" t="str">
        <f t="shared" si="10"/>
        <v>REGULAR</v>
      </c>
    </row>
    <row r="653" spans="1:11" hidden="1" x14ac:dyDescent="0.25">
      <c r="F653" t="s">
        <v>699</v>
      </c>
      <c r="G653" s="2">
        <v>1</v>
      </c>
      <c r="I653" t="s">
        <v>11</v>
      </c>
      <c r="J653" s="9"/>
      <c r="K653" t="str">
        <f t="shared" si="10"/>
        <v>REGULAR</v>
      </c>
    </row>
    <row r="654" spans="1:11" hidden="1" x14ac:dyDescent="0.25">
      <c r="F654" t="s">
        <v>789</v>
      </c>
      <c r="G654" s="2">
        <v>1</v>
      </c>
      <c r="I654" t="s">
        <v>11</v>
      </c>
      <c r="J654" s="9"/>
      <c r="K654" t="str">
        <f t="shared" si="10"/>
        <v>REGULAR</v>
      </c>
    </row>
    <row r="655" spans="1:11" hidden="1" x14ac:dyDescent="0.25">
      <c r="F655" t="s">
        <v>394</v>
      </c>
      <c r="G655" s="2">
        <v>1</v>
      </c>
      <c r="I655" t="s">
        <v>34</v>
      </c>
      <c r="J655" s="9"/>
      <c r="K655" t="str">
        <f t="shared" si="10"/>
        <v>REGULAR</v>
      </c>
    </row>
    <row r="656" spans="1:11" x14ac:dyDescent="0.25">
      <c r="A656" t="s">
        <v>1191</v>
      </c>
      <c r="B656" s="8">
        <v>45784</v>
      </c>
      <c r="C656" t="s">
        <v>632</v>
      </c>
      <c r="D656" t="s">
        <v>10</v>
      </c>
      <c r="E656" t="s">
        <v>607</v>
      </c>
      <c r="F656" t="s">
        <v>955</v>
      </c>
      <c r="G656" s="2">
        <v>1</v>
      </c>
      <c r="H656" s="2">
        <v>129</v>
      </c>
      <c r="I656" t="s">
        <v>11</v>
      </c>
      <c r="J656" s="9"/>
      <c r="K656" t="str">
        <f t="shared" si="10"/>
        <v>SUBSCRIPTION</v>
      </c>
    </row>
    <row r="657" spans="1:20" hidden="1" x14ac:dyDescent="0.25">
      <c r="A657" t="s">
        <v>1192</v>
      </c>
      <c r="B657" s="8">
        <v>45784</v>
      </c>
      <c r="C657" t="s">
        <v>632</v>
      </c>
      <c r="D657" t="s">
        <v>10</v>
      </c>
      <c r="E657" t="s">
        <v>623</v>
      </c>
      <c r="F657" t="s">
        <v>733</v>
      </c>
      <c r="G657" s="2">
        <v>2</v>
      </c>
      <c r="H657" s="2">
        <v>570</v>
      </c>
      <c r="I657" t="s">
        <v>34</v>
      </c>
      <c r="J657" s="9"/>
      <c r="K657" t="str">
        <f t="shared" si="10"/>
        <v>REGULAR</v>
      </c>
    </row>
    <row r="658" spans="1:20" hidden="1" x14ac:dyDescent="0.25">
      <c r="F658" t="s">
        <v>405</v>
      </c>
      <c r="G658" s="2">
        <v>1</v>
      </c>
      <c r="I658" t="s">
        <v>34</v>
      </c>
      <c r="J658" s="9"/>
      <c r="K658" t="str">
        <f t="shared" si="10"/>
        <v>REGULAR</v>
      </c>
    </row>
    <row r="659" spans="1:20" hidden="1" x14ac:dyDescent="0.25">
      <c r="F659" t="s">
        <v>71</v>
      </c>
      <c r="G659" s="2">
        <v>1</v>
      </c>
      <c r="I659" t="s">
        <v>11</v>
      </c>
      <c r="J659" s="9"/>
      <c r="K659" t="str">
        <f t="shared" si="10"/>
        <v>REGULAR</v>
      </c>
    </row>
    <row r="660" spans="1:20" hidden="1" x14ac:dyDescent="0.25">
      <c r="A660" t="s">
        <v>1195</v>
      </c>
      <c r="B660" s="8">
        <v>45784</v>
      </c>
      <c r="C660" t="s">
        <v>632</v>
      </c>
      <c r="D660" t="s">
        <v>10</v>
      </c>
      <c r="E660" t="s">
        <v>623</v>
      </c>
      <c r="F660" t="s">
        <v>392</v>
      </c>
      <c r="G660" s="2">
        <v>1</v>
      </c>
      <c r="H660" s="2">
        <v>190</v>
      </c>
      <c r="I660" t="s">
        <v>34</v>
      </c>
      <c r="J660" s="9"/>
      <c r="K660" t="str">
        <f t="shared" si="10"/>
        <v>REGULAR</v>
      </c>
      <c r="L660" s="13"/>
      <c r="M660" s="14"/>
      <c r="N660" s="15"/>
      <c r="O660" s="15"/>
      <c r="P660" s="15"/>
      <c r="Q660" s="15"/>
      <c r="R660" s="16"/>
      <c r="S660" s="16"/>
      <c r="T660" s="17"/>
    </row>
    <row r="661" spans="1:20" hidden="1" x14ac:dyDescent="0.25">
      <c r="A661" t="s">
        <v>1196</v>
      </c>
      <c r="B661" s="8">
        <v>45784</v>
      </c>
      <c r="C661" t="s">
        <v>632</v>
      </c>
      <c r="D661" t="s">
        <v>10</v>
      </c>
      <c r="E661" t="s">
        <v>623</v>
      </c>
      <c r="F661" t="s">
        <v>667</v>
      </c>
      <c r="G661" s="2">
        <v>1</v>
      </c>
      <c r="H661" s="2">
        <v>230</v>
      </c>
      <c r="I661" t="s">
        <v>11</v>
      </c>
      <c r="J661" s="9"/>
      <c r="K661" t="str">
        <f t="shared" si="10"/>
        <v>REGULAR</v>
      </c>
      <c r="L661" s="13"/>
      <c r="M661" s="14"/>
      <c r="N661" s="15"/>
      <c r="O661" s="15"/>
      <c r="P661" s="15"/>
      <c r="Q661" s="15"/>
      <c r="R661" s="16"/>
      <c r="S661" s="16"/>
      <c r="T661" s="17"/>
    </row>
    <row r="662" spans="1:20" hidden="1" x14ac:dyDescent="0.25">
      <c r="F662" t="s">
        <v>391</v>
      </c>
      <c r="G662" s="2">
        <v>1</v>
      </c>
      <c r="I662" t="s">
        <v>34</v>
      </c>
      <c r="J662" s="9"/>
      <c r="K662" t="str">
        <f t="shared" si="10"/>
        <v>REGULAR</v>
      </c>
      <c r="L662" s="13"/>
      <c r="M662" s="14"/>
      <c r="N662" s="15"/>
      <c r="O662" s="15"/>
      <c r="P662" s="15"/>
      <c r="Q662" s="15"/>
      <c r="R662" s="16"/>
      <c r="S662" s="16"/>
      <c r="T662" s="17"/>
    </row>
    <row r="663" spans="1:20" hidden="1" x14ac:dyDescent="0.25">
      <c r="A663" t="s">
        <v>1197</v>
      </c>
      <c r="B663" s="8">
        <v>45784</v>
      </c>
      <c r="C663" t="s">
        <v>632</v>
      </c>
      <c r="D663" t="s">
        <v>10</v>
      </c>
      <c r="E663" t="s">
        <v>623</v>
      </c>
      <c r="F663" t="s">
        <v>77</v>
      </c>
      <c r="G663" s="2">
        <v>1</v>
      </c>
      <c r="H663" s="2">
        <v>165</v>
      </c>
      <c r="I663" t="s">
        <v>11</v>
      </c>
      <c r="J663" s="9"/>
      <c r="K663" t="str">
        <f t="shared" si="10"/>
        <v>REGULAR</v>
      </c>
      <c r="L663" s="13"/>
      <c r="M663" s="14"/>
      <c r="N663" s="15"/>
      <c r="O663" s="15"/>
      <c r="P663" s="15"/>
      <c r="Q663" s="15"/>
      <c r="R663" s="16"/>
      <c r="S663" s="16"/>
      <c r="T663" s="15"/>
    </row>
    <row r="664" spans="1:20" hidden="1" x14ac:dyDescent="0.25">
      <c r="F664" t="s">
        <v>445</v>
      </c>
      <c r="G664" s="2">
        <v>1</v>
      </c>
      <c r="I664" t="s">
        <v>34</v>
      </c>
      <c r="J664" s="9"/>
      <c r="K664" t="str">
        <f t="shared" si="10"/>
        <v>REGULAR</v>
      </c>
      <c r="L664" s="13"/>
      <c r="M664" s="14"/>
      <c r="N664" s="15"/>
      <c r="O664" s="15"/>
      <c r="P664" s="15"/>
      <c r="Q664" s="15"/>
      <c r="R664" s="16"/>
      <c r="S664" s="16"/>
      <c r="T664" s="15"/>
    </row>
    <row r="665" spans="1:20" hidden="1" x14ac:dyDescent="0.25">
      <c r="A665" t="s">
        <v>1197</v>
      </c>
      <c r="B665" s="8">
        <v>45784</v>
      </c>
      <c r="C665" t="s">
        <v>632</v>
      </c>
      <c r="D665" t="s">
        <v>10</v>
      </c>
      <c r="E665" t="s">
        <v>623</v>
      </c>
      <c r="F665" t="s">
        <v>438</v>
      </c>
      <c r="G665" s="2">
        <v>1</v>
      </c>
      <c r="H665" s="2">
        <v>280</v>
      </c>
      <c r="I665" t="s">
        <v>34</v>
      </c>
      <c r="J665" s="9"/>
      <c r="K665" t="str">
        <f t="shared" si="10"/>
        <v>REGULAR</v>
      </c>
      <c r="L665" s="13"/>
      <c r="M665" s="14"/>
      <c r="N665" s="15"/>
      <c r="O665" s="15"/>
      <c r="P665" s="15"/>
      <c r="Q665" s="15"/>
      <c r="R665" s="16"/>
      <c r="S665" s="16"/>
      <c r="T665" s="15"/>
    </row>
    <row r="666" spans="1:20" hidden="1" x14ac:dyDescent="0.25">
      <c r="A666" t="s">
        <v>1198</v>
      </c>
      <c r="B666" s="8">
        <v>45784</v>
      </c>
      <c r="C666" t="s">
        <v>632</v>
      </c>
      <c r="D666" t="s">
        <v>10</v>
      </c>
      <c r="E666" t="s">
        <v>623</v>
      </c>
      <c r="F666" t="s">
        <v>474</v>
      </c>
      <c r="G666" s="2">
        <v>1</v>
      </c>
      <c r="H666" s="2">
        <v>140</v>
      </c>
      <c r="I666" t="s">
        <v>34</v>
      </c>
      <c r="J666" s="9"/>
      <c r="K666" t="str">
        <f t="shared" si="10"/>
        <v>REGULAR</v>
      </c>
      <c r="L666" s="13"/>
      <c r="M666" s="14"/>
      <c r="N666" s="15"/>
      <c r="O666" s="15"/>
      <c r="P666" s="15"/>
      <c r="Q666" s="15"/>
      <c r="R666" s="16"/>
      <c r="S666" s="16"/>
      <c r="T666" s="15"/>
    </row>
    <row r="667" spans="1:20" hidden="1" x14ac:dyDescent="0.25">
      <c r="A667" t="s">
        <v>1199</v>
      </c>
      <c r="B667" s="8">
        <v>45784</v>
      </c>
      <c r="C667" t="s">
        <v>632</v>
      </c>
      <c r="D667" t="s">
        <v>10</v>
      </c>
      <c r="E667" t="s">
        <v>623</v>
      </c>
      <c r="F667" t="s">
        <v>999</v>
      </c>
      <c r="G667" s="2">
        <v>2</v>
      </c>
      <c r="H667" s="2">
        <v>475</v>
      </c>
      <c r="I667" t="s">
        <v>11</v>
      </c>
      <c r="J667" s="9"/>
      <c r="K667" t="str">
        <f t="shared" si="10"/>
        <v>REGULAR</v>
      </c>
      <c r="L667" s="13"/>
      <c r="M667" s="14"/>
      <c r="N667" s="15"/>
      <c r="O667" s="15"/>
      <c r="P667" s="15"/>
      <c r="Q667" s="15"/>
      <c r="R667" s="16"/>
      <c r="S667" s="16"/>
      <c r="T667" s="15"/>
    </row>
    <row r="668" spans="1:20" hidden="1" x14ac:dyDescent="0.25">
      <c r="F668" t="s">
        <v>699</v>
      </c>
      <c r="G668" s="2">
        <v>1</v>
      </c>
      <c r="I668" t="s">
        <v>11</v>
      </c>
      <c r="J668" s="9"/>
      <c r="K668" t="str">
        <f t="shared" si="10"/>
        <v>REGULAR</v>
      </c>
      <c r="M668" s="9"/>
      <c r="R668" s="2"/>
      <c r="S668" s="2"/>
    </row>
    <row r="669" spans="1:20" hidden="1" x14ac:dyDescent="0.25">
      <c r="F669" t="s">
        <v>1117</v>
      </c>
      <c r="G669" s="2">
        <v>1</v>
      </c>
      <c r="I669" t="s">
        <v>34</v>
      </c>
      <c r="J669" s="9"/>
      <c r="K669" t="str">
        <f t="shared" si="10"/>
        <v>REGULAR</v>
      </c>
      <c r="M669" s="9"/>
      <c r="R669" s="2"/>
      <c r="S669" s="2"/>
    </row>
    <row r="670" spans="1:20" hidden="1" x14ac:dyDescent="0.25">
      <c r="F670" t="s">
        <v>492</v>
      </c>
      <c r="G670" s="2">
        <v>1</v>
      </c>
      <c r="I670" t="s">
        <v>11</v>
      </c>
      <c r="J670" s="9"/>
      <c r="K670" t="str">
        <f t="shared" si="10"/>
        <v>REGULAR</v>
      </c>
      <c r="M670" s="9"/>
      <c r="R670" s="2"/>
      <c r="S670" s="2"/>
    </row>
    <row r="671" spans="1:20" x14ac:dyDescent="0.25">
      <c r="A671" t="s">
        <v>1200</v>
      </c>
      <c r="B671" s="8">
        <v>45785</v>
      </c>
      <c r="C671" t="s">
        <v>648</v>
      </c>
      <c r="D671" t="s">
        <v>10</v>
      </c>
      <c r="E671" t="s">
        <v>607</v>
      </c>
      <c r="F671" t="s">
        <v>978</v>
      </c>
      <c r="G671" s="2">
        <v>1</v>
      </c>
      <c r="H671" s="2">
        <v>129</v>
      </c>
      <c r="I671" t="s">
        <v>11</v>
      </c>
      <c r="J671" s="9"/>
      <c r="K671" t="str">
        <f t="shared" si="10"/>
        <v>SUBSCRIPTION</v>
      </c>
    </row>
    <row r="672" spans="1:20" hidden="1" x14ac:dyDescent="0.25">
      <c r="A672" t="s">
        <v>1201</v>
      </c>
      <c r="B672" s="8">
        <v>45785</v>
      </c>
      <c r="C672" t="s">
        <v>648</v>
      </c>
      <c r="D672" t="s">
        <v>10</v>
      </c>
      <c r="E672" t="s">
        <v>623</v>
      </c>
      <c r="F672" t="s">
        <v>492</v>
      </c>
      <c r="G672" s="2">
        <v>1</v>
      </c>
      <c r="H672" s="2">
        <v>210</v>
      </c>
      <c r="I672" t="s">
        <v>11</v>
      </c>
      <c r="J672" s="9"/>
      <c r="K672" t="str">
        <f t="shared" si="10"/>
        <v>REGULAR</v>
      </c>
    </row>
    <row r="673" spans="1:11" hidden="1" x14ac:dyDescent="0.25">
      <c r="F673" t="s">
        <v>71</v>
      </c>
      <c r="G673" s="2">
        <v>1</v>
      </c>
      <c r="I673" t="s">
        <v>11</v>
      </c>
      <c r="J673" s="9"/>
      <c r="K673" t="str">
        <f t="shared" si="10"/>
        <v>REGULAR</v>
      </c>
    </row>
    <row r="674" spans="1:11" hidden="1" x14ac:dyDescent="0.25">
      <c r="F674" t="s">
        <v>488</v>
      </c>
      <c r="G674" s="2">
        <v>1</v>
      </c>
      <c r="I674" t="s">
        <v>11</v>
      </c>
      <c r="J674" s="9"/>
      <c r="K674" t="str">
        <f t="shared" si="10"/>
        <v>REGULAR</v>
      </c>
    </row>
    <row r="675" spans="1:11" hidden="1" x14ac:dyDescent="0.25">
      <c r="A675" t="s">
        <v>1202</v>
      </c>
      <c r="B675" s="8">
        <v>45785</v>
      </c>
      <c r="C675" t="s">
        <v>648</v>
      </c>
      <c r="D675" t="s">
        <v>10</v>
      </c>
      <c r="E675" t="s">
        <v>623</v>
      </c>
      <c r="F675" t="s">
        <v>405</v>
      </c>
      <c r="G675" s="2">
        <v>1</v>
      </c>
      <c r="H675" s="2">
        <v>80</v>
      </c>
      <c r="I675" t="s">
        <v>34</v>
      </c>
      <c r="J675" s="9"/>
      <c r="K675" t="str">
        <f t="shared" si="10"/>
        <v>REGULAR</v>
      </c>
    </row>
    <row r="676" spans="1:11" hidden="1" x14ac:dyDescent="0.25">
      <c r="A676" t="s">
        <v>1203</v>
      </c>
      <c r="B676" s="8">
        <v>45785</v>
      </c>
      <c r="C676" t="s">
        <v>648</v>
      </c>
      <c r="D676" t="s">
        <v>10</v>
      </c>
      <c r="E676" t="s">
        <v>623</v>
      </c>
      <c r="F676" t="s">
        <v>394</v>
      </c>
      <c r="G676" s="2">
        <v>1</v>
      </c>
      <c r="H676" s="2">
        <v>280</v>
      </c>
      <c r="I676" t="s">
        <v>34</v>
      </c>
      <c r="J676" s="9"/>
      <c r="K676" t="str">
        <f t="shared" si="10"/>
        <v>REGULAR</v>
      </c>
    </row>
    <row r="677" spans="1:11" hidden="1" x14ac:dyDescent="0.25">
      <c r="F677" t="s">
        <v>497</v>
      </c>
      <c r="G677" s="2">
        <v>1</v>
      </c>
      <c r="I677" t="s">
        <v>11</v>
      </c>
      <c r="J677" s="9"/>
      <c r="K677" t="str">
        <f t="shared" si="10"/>
        <v>REGULAR</v>
      </c>
    </row>
    <row r="678" spans="1:11" hidden="1" x14ac:dyDescent="0.25">
      <c r="A678" t="s">
        <v>1204</v>
      </c>
      <c r="B678" s="8">
        <v>45785</v>
      </c>
      <c r="C678" t="s">
        <v>648</v>
      </c>
      <c r="D678" t="s">
        <v>10</v>
      </c>
      <c r="E678" t="s">
        <v>623</v>
      </c>
      <c r="F678" t="s">
        <v>490</v>
      </c>
      <c r="G678" s="2">
        <v>1</v>
      </c>
      <c r="H678" s="2">
        <v>240</v>
      </c>
      <c r="I678" t="s">
        <v>11</v>
      </c>
      <c r="J678" s="9"/>
      <c r="K678" t="str">
        <f t="shared" si="10"/>
        <v>REGULAR</v>
      </c>
    </row>
    <row r="679" spans="1:11" hidden="1" x14ac:dyDescent="0.25">
      <c r="F679" t="s">
        <v>673</v>
      </c>
      <c r="G679" s="2">
        <v>1</v>
      </c>
      <c r="I679" t="s">
        <v>11</v>
      </c>
      <c r="J679" s="9"/>
      <c r="K679" t="str">
        <f t="shared" si="10"/>
        <v>REGULAR</v>
      </c>
    </row>
    <row r="680" spans="1:11" hidden="1" x14ac:dyDescent="0.25">
      <c r="A680" t="s">
        <v>1205</v>
      </c>
      <c r="B680" s="8">
        <v>45785</v>
      </c>
      <c r="C680" t="s">
        <v>648</v>
      </c>
      <c r="D680" t="s">
        <v>10</v>
      </c>
      <c r="E680" t="s">
        <v>623</v>
      </c>
      <c r="F680" t="s">
        <v>789</v>
      </c>
      <c r="G680" s="2">
        <v>1</v>
      </c>
      <c r="H680" s="2">
        <v>270</v>
      </c>
      <c r="I680" t="s">
        <v>34</v>
      </c>
      <c r="J680" s="9"/>
      <c r="K680" t="str">
        <f t="shared" si="10"/>
        <v>REGULAR</v>
      </c>
    </row>
    <row r="681" spans="1:11" hidden="1" x14ac:dyDescent="0.25">
      <c r="F681" t="s">
        <v>497</v>
      </c>
      <c r="G681" s="2">
        <v>1</v>
      </c>
      <c r="I681" t="s">
        <v>11</v>
      </c>
      <c r="J681" s="9"/>
      <c r="K681" t="str">
        <f t="shared" si="10"/>
        <v>REGULAR</v>
      </c>
    </row>
    <row r="682" spans="1:11" hidden="1" x14ac:dyDescent="0.25">
      <c r="F682" t="s">
        <v>428</v>
      </c>
      <c r="G682" s="2">
        <v>1</v>
      </c>
      <c r="I682" t="s">
        <v>11</v>
      </c>
      <c r="J682" s="9"/>
      <c r="K682" t="str">
        <f t="shared" si="10"/>
        <v>REGULAR</v>
      </c>
    </row>
    <row r="683" spans="1:11" hidden="1" x14ac:dyDescent="0.25">
      <c r="A683" t="s">
        <v>1206</v>
      </c>
      <c r="B683" s="8">
        <v>45785</v>
      </c>
      <c r="C683" t="s">
        <v>648</v>
      </c>
      <c r="D683" t="s">
        <v>10</v>
      </c>
      <c r="E683" t="s">
        <v>623</v>
      </c>
      <c r="F683" t="s">
        <v>475</v>
      </c>
      <c r="G683" s="2">
        <v>1</v>
      </c>
      <c r="H683" s="2">
        <v>375</v>
      </c>
      <c r="I683" t="s">
        <v>11</v>
      </c>
      <c r="J683" s="9"/>
      <c r="K683" t="str">
        <f t="shared" si="10"/>
        <v>REGULAR</v>
      </c>
    </row>
    <row r="684" spans="1:11" hidden="1" x14ac:dyDescent="0.25">
      <c r="F684" t="s">
        <v>426</v>
      </c>
      <c r="G684" s="2">
        <v>1</v>
      </c>
      <c r="I684" t="s">
        <v>34</v>
      </c>
      <c r="J684" s="9"/>
      <c r="K684" t="str">
        <f t="shared" si="10"/>
        <v>REGULAR</v>
      </c>
    </row>
    <row r="685" spans="1:11" hidden="1" x14ac:dyDescent="0.25">
      <c r="F685" t="s">
        <v>391</v>
      </c>
      <c r="G685" s="2">
        <v>1</v>
      </c>
      <c r="I685" t="s">
        <v>34</v>
      </c>
      <c r="J685" s="9"/>
      <c r="K685" t="str">
        <f t="shared" si="10"/>
        <v>REGULAR</v>
      </c>
    </row>
    <row r="686" spans="1:11" hidden="1" x14ac:dyDescent="0.25">
      <c r="A686" t="s">
        <v>1207</v>
      </c>
      <c r="B686" s="8">
        <v>45785</v>
      </c>
      <c r="C686" t="s">
        <v>648</v>
      </c>
      <c r="D686" t="s">
        <v>10</v>
      </c>
      <c r="E686" t="s">
        <v>623</v>
      </c>
      <c r="F686" t="s">
        <v>396</v>
      </c>
      <c r="G686" s="2">
        <v>1</v>
      </c>
      <c r="H686" s="2">
        <v>80</v>
      </c>
      <c r="I686" t="s">
        <v>34</v>
      </c>
      <c r="J686" s="9"/>
      <c r="K686" t="str">
        <f t="shared" si="10"/>
        <v>REGULAR</v>
      </c>
    </row>
    <row r="687" spans="1:11" hidden="1" x14ac:dyDescent="0.25">
      <c r="A687" t="s">
        <v>1208</v>
      </c>
      <c r="B687" s="8">
        <v>45785</v>
      </c>
      <c r="C687" t="s">
        <v>648</v>
      </c>
      <c r="D687" t="s">
        <v>10</v>
      </c>
      <c r="E687" t="s">
        <v>623</v>
      </c>
      <c r="F687" t="s">
        <v>392</v>
      </c>
      <c r="G687" s="2">
        <v>2</v>
      </c>
      <c r="H687" s="2">
        <v>510</v>
      </c>
      <c r="I687" t="s">
        <v>34</v>
      </c>
      <c r="J687" s="9"/>
      <c r="K687" t="str">
        <f t="shared" si="10"/>
        <v>REGULAR</v>
      </c>
    </row>
    <row r="688" spans="1:11" hidden="1" x14ac:dyDescent="0.25">
      <c r="F688" t="s">
        <v>451</v>
      </c>
      <c r="G688" s="2">
        <v>1</v>
      </c>
      <c r="I688" t="s">
        <v>11</v>
      </c>
      <c r="J688" s="9"/>
      <c r="K688" t="str">
        <f t="shared" si="10"/>
        <v>REGULAR</v>
      </c>
    </row>
    <row r="689" spans="1:11" hidden="1" x14ac:dyDescent="0.25">
      <c r="A689" t="s">
        <v>1209</v>
      </c>
      <c r="B689" s="8">
        <v>45785</v>
      </c>
      <c r="C689" t="s">
        <v>648</v>
      </c>
      <c r="D689" t="s">
        <v>10</v>
      </c>
      <c r="E689" t="s">
        <v>623</v>
      </c>
      <c r="F689" t="s">
        <v>395</v>
      </c>
      <c r="G689" s="2">
        <v>1</v>
      </c>
      <c r="H689" s="2">
        <v>235</v>
      </c>
      <c r="I689" t="s">
        <v>34</v>
      </c>
      <c r="J689" s="9"/>
      <c r="K689" t="str">
        <f t="shared" si="10"/>
        <v>REGULAR</v>
      </c>
    </row>
    <row r="690" spans="1:11" hidden="1" x14ac:dyDescent="0.25">
      <c r="F690" t="s">
        <v>999</v>
      </c>
      <c r="G690" s="2">
        <v>1</v>
      </c>
      <c r="I690" t="s">
        <v>11</v>
      </c>
      <c r="J690" s="9"/>
      <c r="K690" t="str">
        <f t="shared" si="10"/>
        <v>REGULAR</v>
      </c>
    </row>
    <row r="691" spans="1:11" hidden="1" x14ac:dyDescent="0.25">
      <c r="A691" t="s">
        <v>1193</v>
      </c>
      <c r="B691" s="8">
        <v>45786</v>
      </c>
      <c r="C691" t="s">
        <v>678</v>
      </c>
      <c r="D691" t="s">
        <v>10</v>
      </c>
      <c r="E691" t="s">
        <v>623</v>
      </c>
      <c r="F691" t="s">
        <v>471</v>
      </c>
      <c r="G691" s="2">
        <v>1</v>
      </c>
      <c r="H691" s="2">
        <v>520</v>
      </c>
      <c r="I691" t="s">
        <v>34</v>
      </c>
      <c r="J691" s="9"/>
      <c r="K691" t="str">
        <f t="shared" si="10"/>
        <v>REGULAR</v>
      </c>
    </row>
    <row r="692" spans="1:11" hidden="1" x14ac:dyDescent="0.25">
      <c r="F692" t="s">
        <v>391</v>
      </c>
      <c r="G692" s="2">
        <v>1</v>
      </c>
      <c r="I692" t="s">
        <v>34</v>
      </c>
      <c r="J692" s="9"/>
      <c r="K692" t="str">
        <f t="shared" si="10"/>
        <v>REGULAR</v>
      </c>
    </row>
    <row r="693" spans="1:11" hidden="1" x14ac:dyDescent="0.25">
      <c r="F693" t="s">
        <v>428</v>
      </c>
      <c r="G693" s="2">
        <v>1</v>
      </c>
      <c r="I693" t="s">
        <v>11</v>
      </c>
      <c r="J693" s="9"/>
      <c r="K693" t="str">
        <f t="shared" si="10"/>
        <v>REGULAR</v>
      </c>
    </row>
    <row r="694" spans="1:11" hidden="1" x14ac:dyDescent="0.25">
      <c r="F694" t="s">
        <v>667</v>
      </c>
      <c r="G694" s="2">
        <v>1</v>
      </c>
      <c r="I694" t="s">
        <v>11</v>
      </c>
      <c r="J694" s="9"/>
      <c r="K694" t="str">
        <f t="shared" si="10"/>
        <v>REGULAR</v>
      </c>
    </row>
    <row r="695" spans="1:11" hidden="1" x14ac:dyDescent="0.25">
      <c r="A695" t="s">
        <v>1194</v>
      </c>
      <c r="B695" s="8">
        <v>45786</v>
      </c>
      <c r="C695" t="s">
        <v>678</v>
      </c>
      <c r="D695" t="s">
        <v>10</v>
      </c>
      <c r="E695" t="s">
        <v>623</v>
      </c>
      <c r="F695" t="s">
        <v>437</v>
      </c>
      <c r="G695" s="2">
        <v>1</v>
      </c>
      <c r="H695" s="2">
        <v>480</v>
      </c>
      <c r="I695" t="s">
        <v>34</v>
      </c>
      <c r="J695" s="9"/>
      <c r="K695" t="str">
        <f t="shared" si="10"/>
        <v>REGULAR</v>
      </c>
    </row>
    <row r="696" spans="1:11" hidden="1" x14ac:dyDescent="0.25">
      <c r="F696" t="s">
        <v>391</v>
      </c>
      <c r="G696" s="2">
        <v>1</v>
      </c>
      <c r="I696" t="s">
        <v>34</v>
      </c>
      <c r="J696" s="9"/>
      <c r="K696" t="str">
        <f t="shared" si="10"/>
        <v>REGULAR</v>
      </c>
    </row>
    <row r="697" spans="1:11" x14ac:dyDescent="0.25">
      <c r="A697" t="s">
        <v>1210</v>
      </c>
      <c r="B697" s="8">
        <v>45786</v>
      </c>
      <c r="C697" t="s">
        <v>678</v>
      </c>
      <c r="D697" t="s">
        <v>10</v>
      </c>
      <c r="E697" t="s">
        <v>607</v>
      </c>
      <c r="F697" t="s">
        <v>995</v>
      </c>
      <c r="G697" s="2">
        <v>1</v>
      </c>
      <c r="H697" s="2">
        <v>129</v>
      </c>
      <c r="I697" t="s">
        <v>11</v>
      </c>
      <c r="J697" s="9"/>
      <c r="K697" t="str">
        <f t="shared" si="10"/>
        <v>SUBSCRIPTION</v>
      </c>
    </row>
    <row r="698" spans="1:11" x14ac:dyDescent="0.25">
      <c r="A698" t="s">
        <v>1213</v>
      </c>
      <c r="B698" s="8">
        <v>45786</v>
      </c>
      <c r="C698" t="s">
        <v>678</v>
      </c>
      <c r="D698" t="s">
        <v>10</v>
      </c>
      <c r="E698" t="s">
        <v>607</v>
      </c>
      <c r="F698" t="s">
        <v>1212</v>
      </c>
      <c r="G698" s="2">
        <v>1</v>
      </c>
      <c r="H698" s="2">
        <v>149</v>
      </c>
      <c r="I698" t="s">
        <v>34</v>
      </c>
      <c r="J698" s="9"/>
      <c r="K698" t="str">
        <f t="shared" si="10"/>
        <v>SUBSCRIPTION</v>
      </c>
    </row>
    <row r="699" spans="1:11" x14ac:dyDescent="0.25">
      <c r="A699" t="s">
        <v>1214</v>
      </c>
      <c r="B699" s="8">
        <v>45786</v>
      </c>
      <c r="C699" t="s">
        <v>678</v>
      </c>
      <c r="D699" t="s">
        <v>21</v>
      </c>
      <c r="E699" t="s">
        <v>607</v>
      </c>
      <c r="F699" t="s">
        <v>1215</v>
      </c>
      <c r="G699" s="2">
        <v>1</v>
      </c>
      <c r="H699" s="2">
        <v>112</v>
      </c>
      <c r="I699" t="s">
        <v>34</v>
      </c>
      <c r="J699" s="9"/>
      <c r="K699" t="str">
        <f t="shared" si="10"/>
        <v>SUBSCRIPTION</v>
      </c>
    </row>
    <row r="700" spans="1:11" x14ac:dyDescent="0.25">
      <c r="A700" t="s">
        <v>1216</v>
      </c>
      <c r="B700" s="8">
        <v>45786</v>
      </c>
      <c r="C700" t="s">
        <v>678</v>
      </c>
      <c r="D700" t="s">
        <v>10</v>
      </c>
      <c r="E700" t="s">
        <v>607</v>
      </c>
      <c r="F700" t="s">
        <v>1166</v>
      </c>
      <c r="G700" s="2">
        <v>1</v>
      </c>
      <c r="H700" s="2">
        <v>99</v>
      </c>
      <c r="I700" t="s">
        <v>11</v>
      </c>
      <c r="J700" s="9"/>
      <c r="K700" t="str">
        <f t="shared" si="10"/>
        <v>SUBSCRIPTION</v>
      </c>
    </row>
    <row r="701" spans="1:11" x14ac:dyDescent="0.25">
      <c r="A701" t="s">
        <v>1211</v>
      </c>
      <c r="B701" s="8">
        <v>45786</v>
      </c>
      <c r="C701" t="s">
        <v>678</v>
      </c>
      <c r="D701" t="s">
        <v>18</v>
      </c>
      <c r="E701" t="s">
        <v>607</v>
      </c>
      <c r="F701" t="s">
        <v>1084</v>
      </c>
      <c r="G701" s="2">
        <v>1</v>
      </c>
      <c r="H701" s="2">
        <v>129</v>
      </c>
      <c r="I701" t="s">
        <v>34</v>
      </c>
      <c r="J701" s="9"/>
      <c r="K701" t="str">
        <f t="shared" si="10"/>
        <v>SUBSCRIPTION</v>
      </c>
    </row>
    <row r="702" spans="1:11" hidden="1" x14ac:dyDescent="0.25">
      <c r="A702" t="s">
        <v>1217</v>
      </c>
      <c r="B702" s="8">
        <v>45786</v>
      </c>
      <c r="C702" t="s">
        <v>678</v>
      </c>
      <c r="D702" t="s">
        <v>10</v>
      </c>
      <c r="E702" t="s">
        <v>623</v>
      </c>
      <c r="F702" t="s">
        <v>493</v>
      </c>
      <c r="G702" s="2">
        <v>2</v>
      </c>
      <c r="H702" s="2">
        <v>465</v>
      </c>
      <c r="I702" t="s">
        <v>11</v>
      </c>
      <c r="J702" s="9"/>
      <c r="K702" t="str">
        <f t="shared" si="10"/>
        <v>REGULAR</v>
      </c>
    </row>
    <row r="703" spans="1:11" hidden="1" x14ac:dyDescent="0.25">
      <c r="F703" t="s">
        <v>71</v>
      </c>
      <c r="G703" s="2">
        <v>2</v>
      </c>
      <c r="I703" t="s">
        <v>11</v>
      </c>
      <c r="J703" s="9"/>
      <c r="K703" t="str">
        <f t="shared" si="10"/>
        <v>REGULAR</v>
      </c>
    </row>
    <row r="704" spans="1:11" hidden="1" x14ac:dyDescent="0.25">
      <c r="F704" t="s">
        <v>491</v>
      </c>
      <c r="G704" s="2">
        <v>1</v>
      </c>
      <c r="I704" t="s">
        <v>11</v>
      </c>
      <c r="J704" s="9"/>
      <c r="K704" t="str">
        <f t="shared" si="10"/>
        <v>REGULAR</v>
      </c>
    </row>
    <row r="705" spans="1:11" hidden="1" x14ac:dyDescent="0.25">
      <c r="F705" t="s">
        <v>492</v>
      </c>
      <c r="G705" s="2">
        <v>2</v>
      </c>
      <c r="I705" t="s">
        <v>11</v>
      </c>
      <c r="J705" s="9"/>
      <c r="K705" t="str">
        <f t="shared" si="10"/>
        <v>REGULAR</v>
      </c>
    </row>
    <row r="706" spans="1:11" hidden="1" x14ac:dyDescent="0.25">
      <c r="A706" t="s">
        <v>1218</v>
      </c>
      <c r="B706" s="8">
        <v>45786</v>
      </c>
      <c r="C706" t="s">
        <v>678</v>
      </c>
      <c r="D706" t="s">
        <v>10</v>
      </c>
      <c r="E706" t="s">
        <v>623</v>
      </c>
      <c r="F706" t="s">
        <v>428</v>
      </c>
      <c r="G706" s="2">
        <v>1</v>
      </c>
      <c r="H706" s="2">
        <v>270</v>
      </c>
      <c r="I706" t="s">
        <v>11</v>
      </c>
      <c r="J706" s="9"/>
      <c r="K706" t="str">
        <f t="shared" ref="K706:K769" si="11">IF(E706&lt;&gt;"", E706, K705)</f>
        <v>REGULAR</v>
      </c>
    </row>
    <row r="707" spans="1:11" hidden="1" x14ac:dyDescent="0.25">
      <c r="F707" t="s">
        <v>497</v>
      </c>
      <c r="G707" s="2">
        <v>1</v>
      </c>
      <c r="I707" t="s">
        <v>11</v>
      </c>
      <c r="J707" s="9"/>
      <c r="K707" t="str">
        <f t="shared" si="11"/>
        <v>REGULAR</v>
      </c>
    </row>
    <row r="708" spans="1:11" hidden="1" x14ac:dyDescent="0.25">
      <c r="F708" t="s">
        <v>789</v>
      </c>
      <c r="G708" s="2">
        <v>1</v>
      </c>
      <c r="I708" t="s">
        <v>11</v>
      </c>
      <c r="J708" s="9"/>
      <c r="K708" t="str">
        <f t="shared" si="11"/>
        <v>REGULAR</v>
      </c>
    </row>
    <row r="709" spans="1:11" hidden="1" x14ac:dyDescent="0.25">
      <c r="A709" t="s">
        <v>1219</v>
      </c>
      <c r="B709" s="8">
        <v>45786</v>
      </c>
      <c r="C709" t="s">
        <v>678</v>
      </c>
      <c r="D709" t="s">
        <v>10</v>
      </c>
      <c r="E709" t="s">
        <v>623</v>
      </c>
      <c r="F709" t="s">
        <v>733</v>
      </c>
      <c r="G709" s="2">
        <v>1</v>
      </c>
      <c r="H709" s="2">
        <v>435</v>
      </c>
      <c r="I709" t="s">
        <v>34</v>
      </c>
      <c r="J709" s="9"/>
      <c r="K709" t="str">
        <f t="shared" si="11"/>
        <v>REGULAR</v>
      </c>
    </row>
    <row r="710" spans="1:11" hidden="1" x14ac:dyDescent="0.25">
      <c r="F710" t="s">
        <v>71</v>
      </c>
      <c r="G710" s="2">
        <v>1</v>
      </c>
      <c r="I710" t="s">
        <v>11</v>
      </c>
      <c r="J710" s="9"/>
      <c r="K710" t="str">
        <f t="shared" si="11"/>
        <v>REGULAR</v>
      </c>
    </row>
    <row r="711" spans="1:11" hidden="1" x14ac:dyDescent="0.25">
      <c r="F711" t="s">
        <v>392</v>
      </c>
      <c r="G711" s="2">
        <v>1</v>
      </c>
      <c r="I711" t="s">
        <v>34</v>
      </c>
      <c r="J711" s="9"/>
      <c r="K711" t="str">
        <f t="shared" si="11"/>
        <v>REGULAR</v>
      </c>
    </row>
    <row r="712" spans="1:11" hidden="1" x14ac:dyDescent="0.25">
      <c r="A712" t="s">
        <v>1220</v>
      </c>
      <c r="B712" s="8">
        <v>45786</v>
      </c>
      <c r="C712" t="s">
        <v>678</v>
      </c>
      <c r="D712" t="s">
        <v>10</v>
      </c>
      <c r="E712" t="s">
        <v>623</v>
      </c>
      <c r="F712" t="s">
        <v>391</v>
      </c>
      <c r="G712" s="2">
        <v>1</v>
      </c>
      <c r="H712" s="2">
        <v>375</v>
      </c>
      <c r="I712" t="s">
        <v>34</v>
      </c>
      <c r="J712" s="9"/>
      <c r="K712" t="str">
        <f t="shared" si="11"/>
        <v>REGULAR</v>
      </c>
    </row>
    <row r="713" spans="1:11" hidden="1" x14ac:dyDescent="0.25">
      <c r="F713" t="s">
        <v>450</v>
      </c>
      <c r="G713" s="2">
        <v>1</v>
      </c>
      <c r="I713" t="s">
        <v>11</v>
      </c>
      <c r="J713" s="9"/>
      <c r="K713" t="str">
        <f t="shared" si="11"/>
        <v>REGULAR</v>
      </c>
    </row>
    <row r="714" spans="1:11" hidden="1" x14ac:dyDescent="0.25">
      <c r="F714" t="s">
        <v>789</v>
      </c>
      <c r="G714" s="2">
        <v>1</v>
      </c>
      <c r="I714" t="s">
        <v>11</v>
      </c>
      <c r="J714" s="9"/>
      <c r="K714" t="str">
        <f t="shared" si="11"/>
        <v>REGULAR</v>
      </c>
    </row>
    <row r="715" spans="1:11" hidden="1" x14ac:dyDescent="0.25">
      <c r="F715" t="s">
        <v>71</v>
      </c>
      <c r="G715" s="2">
        <v>1</v>
      </c>
      <c r="I715" t="s">
        <v>11</v>
      </c>
      <c r="J715" s="9"/>
      <c r="K715" t="str">
        <f t="shared" si="11"/>
        <v>REGULAR</v>
      </c>
    </row>
    <row r="716" spans="1:11" hidden="1" x14ac:dyDescent="0.25">
      <c r="A716" t="s">
        <v>1221</v>
      </c>
      <c r="B716" s="8">
        <v>45786</v>
      </c>
      <c r="C716" t="s">
        <v>678</v>
      </c>
      <c r="D716" t="s">
        <v>10</v>
      </c>
      <c r="E716" t="s">
        <v>623</v>
      </c>
      <c r="F716" t="s">
        <v>492</v>
      </c>
      <c r="G716" s="2">
        <v>1</v>
      </c>
      <c r="H716" s="2">
        <v>365</v>
      </c>
      <c r="I716" t="s">
        <v>11</v>
      </c>
      <c r="J716" s="9"/>
      <c r="K716" t="str">
        <f t="shared" si="11"/>
        <v>REGULAR</v>
      </c>
    </row>
    <row r="717" spans="1:11" hidden="1" x14ac:dyDescent="0.25">
      <c r="F717" t="s">
        <v>431</v>
      </c>
      <c r="G717" s="2">
        <v>1</v>
      </c>
      <c r="I717" t="s">
        <v>34</v>
      </c>
      <c r="J717" s="9"/>
      <c r="K717" t="str">
        <f t="shared" si="11"/>
        <v>REGULAR</v>
      </c>
    </row>
    <row r="718" spans="1:11" hidden="1" x14ac:dyDescent="0.25">
      <c r="F718" t="s">
        <v>471</v>
      </c>
      <c r="G718" s="2">
        <v>1</v>
      </c>
      <c r="I718" t="s">
        <v>34</v>
      </c>
      <c r="J718" s="9"/>
      <c r="K718" t="str">
        <f t="shared" si="11"/>
        <v>REGULAR</v>
      </c>
    </row>
    <row r="719" spans="1:11" hidden="1" x14ac:dyDescent="0.25">
      <c r="A719" t="s">
        <v>1222</v>
      </c>
      <c r="B719" s="8">
        <v>45786</v>
      </c>
      <c r="C719" t="s">
        <v>678</v>
      </c>
      <c r="D719" t="s">
        <v>10</v>
      </c>
      <c r="E719" t="s">
        <v>623</v>
      </c>
      <c r="F719" t="s">
        <v>673</v>
      </c>
      <c r="G719" s="2">
        <v>1</v>
      </c>
      <c r="H719" s="2">
        <v>410</v>
      </c>
      <c r="I719" t="s">
        <v>11</v>
      </c>
      <c r="J719" s="9"/>
      <c r="K719" t="str">
        <f t="shared" si="11"/>
        <v>REGULAR</v>
      </c>
    </row>
    <row r="720" spans="1:11" hidden="1" x14ac:dyDescent="0.25">
      <c r="F720" t="s">
        <v>667</v>
      </c>
      <c r="G720" s="2">
        <v>1</v>
      </c>
      <c r="I720" t="s">
        <v>11</v>
      </c>
      <c r="J720" s="9"/>
      <c r="K720" t="str">
        <f t="shared" si="11"/>
        <v>REGULAR</v>
      </c>
    </row>
    <row r="721" spans="1:11" hidden="1" x14ac:dyDescent="0.25">
      <c r="F721" t="s">
        <v>406</v>
      </c>
      <c r="G721" s="2">
        <v>1</v>
      </c>
      <c r="I721" t="s">
        <v>34</v>
      </c>
      <c r="J721" s="9"/>
      <c r="K721" t="str">
        <f t="shared" si="11"/>
        <v>REGULAR</v>
      </c>
    </row>
    <row r="722" spans="1:11" hidden="1" x14ac:dyDescent="0.25">
      <c r="F722" t="s">
        <v>470</v>
      </c>
      <c r="G722" s="2">
        <v>1</v>
      </c>
      <c r="I722" t="s">
        <v>34</v>
      </c>
      <c r="J722" s="9"/>
      <c r="K722" t="str">
        <f t="shared" si="11"/>
        <v>REGULAR</v>
      </c>
    </row>
    <row r="723" spans="1:11" x14ac:dyDescent="0.25">
      <c r="A723" t="s">
        <v>1223</v>
      </c>
      <c r="B723" s="8">
        <v>45787</v>
      </c>
      <c r="C723" t="s">
        <v>703</v>
      </c>
      <c r="D723" t="s">
        <v>10</v>
      </c>
      <c r="E723" t="s">
        <v>607</v>
      </c>
      <c r="F723" t="s">
        <v>1224</v>
      </c>
      <c r="G723" s="2">
        <v>1</v>
      </c>
      <c r="H723" s="2">
        <v>179</v>
      </c>
      <c r="I723" t="s">
        <v>34</v>
      </c>
      <c r="J723" s="9"/>
      <c r="K723" t="str">
        <f t="shared" si="11"/>
        <v>SUBSCRIPTION</v>
      </c>
    </row>
    <row r="724" spans="1:11" x14ac:dyDescent="0.25">
      <c r="A724" t="s">
        <v>1225</v>
      </c>
      <c r="B724" s="8">
        <v>45787</v>
      </c>
      <c r="C724" t="s">
        <v>703</v>
      </c>
      <c r="D724" t="s">
        <v>18</v>
      </c>
      <c r="E724" t="s">
        <v>607</v>
      </c>
      <c r="F724" t="s">
        <v>1093</v>
      </c>
      <c r="G724" s="2">
        <v>1</v>
      </c>
      <c r="H724" s="2">
        <v>149</v>
      </c>
      <c r="I724" t="s">
        <v>34</v>
      </c>
      <c r="J724" s="9"/>
      <c r="K724" t="str">
        <f t="shared" si="11"/>
        <v>SUBSCRIPTION</v>
      </c>
    </row>
    <row r="725" spans="1:11" x14ac:dyDescent="0.25">
      <c r="A725" t="s">
        <v>1226</v>
      </c>
      <c r="B725" s="8">
        <v>45787</v>
      </c>
      <c r="C725" t="s">
        <v>703</v>
      </c>
      <c r="D725" t="s">
        <v>10</v>
      </c>
      <c r="E725" t="s">
        <v>607</v>
      </c>
      <c r="F725" t="s">
        <v>1181</v>
      </c>
      <c r="G725" s="2">
        <v>1</v>
      </c>
      <c r="H725" s="2">
        <v>129</v>
      </c>
      <c r="I725" t="s">
        <v>11</v>
      </c>
      <c r="J725" s="9"/>
      <c r="K725" t="str">
        <f t="shared" si="11"/>
        <v>SUBSCRIPTION</v>
      </c>
    </row>
    <row r="726" spans="1:11" x14ac:dyDescent="0.25">
      <c r="A726" t="s">
        <v>1227</v>
      </c>
      <c r="B726" s="8">
        <v>45787</v>
      </c>
      <c r="C726" t="s">
        <v>703</v>
      </c>
      <c r="D726" t="s">
        <v>21</v>
      </c>
      <c r="E726" t="s">
        <v>607</v>
      </c>
      <c r="F726" t="s">
        <v>1228</v>
      </c>
      <c r="G726" s="2">
        <v>1</v>
      </c>
      <c r="H726" s="2">
        <v>117</v>
      </c>
      <c r="I726" t="s">
        <v>34</v>
      </c>
      <c r="J726" s="9"/>
      <c r="K726" t="str">
        <f t="shared" si="11"/>
        <v>SUBSCRIPTION</v>
      </c>
    </row>
    <row r="727" spans="1:11" hidden="1" x14ac:dyDescent="0.25">
      <c r="A727" t="s">
        <v>1229</v>
      </c>
      <c r="B727" s="8">
        <v>45787</v>
      </c>
      <c r="C727" t="s">
        <v>703</v>
      </c>
      <c r="D727" t="s">
        <v>10</v>
      </c>
      <c r="E727" t="s">
        <v>623</v>
      </c>
      <c r="F727" t="s">
        <v>1117</v>
      </c>
      <c r="G727" s="2">
        <v>1</v>
      </c>
      <c r="H727" s="2">
        <v>190</v>
      </c>
      <c r="I727" t="s">
        <v>34</v>
      </c>
      <c r="J727" s="9"/>
      <c r="K727" t="str">
        <f t="shared" si="11"/>
        <v>REGULAR</v>
      </c>
    </row>
    <row r="728" spans="1:11" hidden="1" x14ac:dyDescent="0.25">
      <c r="A728" t="s">
        <v>1230</v>
      </c>
      <c r="B728" s="8">
        <v>45787</v>
      </c>
      <c r="C728" t="s">
        <v>703</v>
      </c>
      <c r="D728" t="s">
        <v>10</v>
      </c>
      <c r="E728" t="s">
        <v>623</v>
      </c>
      <c r="F728" t="s">
        <v>673</v>
      </c>
      <c r="G728" s="2">
        <v>1</v>
      </c>
      <c r="H728" s="2">
        <v>260</v>
      </c>
      <c r="I728" t="s">
        <v>11</v>
      </c>
      <c r="J728" s="9"/>
      <c r="K728" t="str">
        <f t="shared" si="11"/>
        <v>REGULAR</v>
      </c>
    </row>
    <row r="729" spans="1:11" hidden="1" x14ac:dyDescent="0.25">
      <c r="F729" t="s">
        <v>752</v>
      </c>
      <c r="G729" s="2">
        <v>1</v>
      </c>
      <c r="I729" t="s">
        <v>34</v>
      </c>
      <c r="J729" s="9"/>
      <c r="K729" t="str">
        <f t="shared" si="11"/>
        <v>REGULAR</v>
      </c>
    </row>
    <row r="730" spans="1:11" hidden="1" x14ac:dyDescent="0.25">
      <c r="A730" t="s">
        <v>1231</v>
      </c>
      <c r="B730" s="8">
        <v>45787</v>
      </c>
      <c r="C730" t="s">
        <v>703</v>
      </c>
      <c r="D730" t="s">
        <v>10</v>
      </c>
      <c r="E730" t="s">
        <v>623</v>
      </c>
      <c r="F730" t="s">
        <v>428</v>
      </c>
      <c r="G730" s="2">
        <v>1</v>
      </c>
      <c r="H730" s="2">
        <v>440</v>
      </c>
      <c r="I730" t="s">
        <v>11</v>
      </c>
      <c r="J730" s="9"/>
      <c r="K730" t="str">
        <f t="shared" si="11"/>
        <v>REGULAR</v>
      </c>
    </row>
    <row r="731" spans="1:11" hidden="1" x14ac:dyDescent="0.25">
      <c r="F731" t="s">
        <v>721</v>
      </c>
      <c r="G731" s="2">
        <v>1</v>
      </c>
      <c r="I731" t="s">
        <v>11</v>
      </c>
      <c r="J731" s="9"/>
      <c r="K731" t="str">
        <f t="shared" si="11"/>
        <v>REGULAR</v>
      </c>
    </row>
    <row r="732" spans="1:11" hidden="1" x14ac:dyDescent="0.25">
      <c r="F732" t="s">
        <v>491</v>
      </c>
      <c r="G732" s="2">
        <v>1</v>
      </c>
      <c r="I732" t="s">
        <v>11</v>
      </c>
      <c r="J732" s="9"/>
      <c r="K732" t="str">
        <f t="shared" si="11"/>
        <v>REGULAR</v>
      </c>
    </row>
    <row r="733" spans="1:11" hidden="1" x14ac:dyDescent="0.25">
      <c r="F733" t="s">
        <v>752</v>
      </c>
      <c r="G733" s="2">
        <v>1</v>
      </c>
      <c r="I733" t="s">
        <v>34</v>
      </c>
      <c r="J733" s="9"/>
      <c r="K733" t="str">
        <f t="shared" si="11"/>
        <v>REGULAR</v>
      </c>
    </row>
    <row r="734" spans="1:11" hidden="1" x14ac:dyDescent="0.25">
      <c r="A734" t="s">
        <v>1232</v>
      </c>
      <c r="B734" s="8">
        <v>45787</v>
      </c>
      <c r="C734" t="s">
        <v>703</v>
      </c>
      <c r="D734" t="s">
        <v>10</v>
      </c>
      <c r="E734" t="s">
        <v>623</v>
      </c>
      <c r="F734" t="s">
        <v>392</v>
      </c>
      <c r="G734" s="2">
        <v>1</v>
      </c>
      <c r="H734" s="2">
        <v>350</v>
      </c>
      <c r="I734" t="s">
        <v>34</v>
      </c>
      <c r="J734" s="9"/>
      <c r="K734" t="str">
        <f t="shared" si="11"/>
        <v>REGULAR</v>
      </c>
    </row>
    <row r="735" spans="1:11" hidden="1" x14ac:dyDescent="0.25">
      <c r="F735" t="s">
        <v>395</v>
      </c>
      <c r="G735" s="2">
        <v>1</v>
      </c>
      <c r="I735" t="s">
        <v>34</v>
      </c>
      <c r="J735" s="9"/>
      <c r="K735" t="str">
        <f t="shared" si="11"/>
        <v>REGULAR</v>
      </c>
    </row>
    <row r="736" spans="1:11" hidden="1" x14ac:dyDescent="0.25">
      <c r="A736" t="s">
        <v>1233</v>
      </c>
      <c r="B736" s="8">
        <v>45787</v>
      </c>
      <c r="C736" t="s">
        <v>703</v>
      </c>
      <c r="D736" t="s">
        <v>10</v>
      </c>
      <c r="E736" t="s">
        <v>623</v>
      </c>
      <c r="F736" t="s">
        <v>405</v>
      </c>
      <c r="G736" s="2">
        <v>1</v>
      </c>
      <c r="H736" s="2">
        <v>230</v>
      </c>
      <c r="I736" t="s">
        <v>34</v>
      </c>
      <c r="J736" s="9"/>
      <c r="K736" t="str">
        <f t="shared" si="11"/>
        <v>REGULAR</v>
      </c>
    </row>
    <row r="737" spans="1:11" hidden="1" x14ac:dyDescent="0.25">
      <c r="F737" t="s">
        <v>472</v>
      </c>
      <c r="G737" s="2">
        <v>1</v>
      </c>
      <c r="I737" t="s">
        <v>34</v>
      </c>
      <c r="J737" s="9"/>
      <c r="K737" t="str">
        <f t="shared" si="11"/>
        <v>REGULAR</v>
      </c>
    </row>
    <row r="738" spans="1:11" hidden="1" x14ac:dyDescent="0.25">
      <c r="A738" t="s">
        <v>1234</v>
      </c>
      <c r="B738" s="8">
        <v>45787</v>
      </c>
      <c r="C738" t="s">
        <v>703</v>
      </c>
      <c r="D738" t="s">
        <v>10</v>
      </c>
      <c r="E738" t="s">
        <v>623</v>
      </c>
      <c r="F738" t="s">
        <v>428</v>
      </c>
      <c r="G738" s="2">
        <v>1</v>
      </c>
      <c r="H738" s="2">
        <v>280</v>
      </c>
      <c r="I738" t="s">
        <v>11</v>
      </c>
      <c r="J738" s="9"/>
      <c r="K738" t="str">
        <f t="shared" si="11"/>
        <v>REGULAR</v>
      </c>
    </row>
    <row r="739" spans="1:11" hidden="1" x14ac:dyDescent="0.25">
      <c r="F739" t="s">
        <v>983</v>
      </c>
      <c r="G739" s="2">
        <v>1</v>
      </c>
      <c r="I739" t="s">
        <v>11</v>
      </c>
      <c r="J739" s="9"/>
      <c r="K739" t="str">
        <f t="shared" si="11"/>
        <v>REGULAR</v>
      </c>
    </row>
    <row r="740" spans="1:11" hidden="1" x14ac:dyDescent="0.25">
      <c r="A740" t="s">
        <v>1235</v>
      </c>
      <c r="B740" s="8">
        <v>45787</v>
      </c>
      <c r="C740" t="s">
        <v>703</v>
      </c>
      <c r="D740" t="s">
        <v>10</v>
      </c>
      <c r="E740" t="s">
        <v>623</v>
      </c>
      <c r="F740" t="s">
        <v>404</v>
      </c>
      <c r="G740" s="2">
        <v>1</v>
      </c>
      <c r="H740" s="2">
        <v>350</v>
      </c>
      <c r="I740" t="s">
        <v>34</v>
      </c>
      <c r="J740" s="9"/>
      <c r="K740" t="str">
        <f t="shared" si="11"/>
        <v>REGULAR</v>
      </c>
    </row>
    <row r="741" spans="1:11" hidden="1" x14ac:dyDescent="0.25">
      <c r="F741" t="s">
        <v>481</v>
      </c>
      <c r="G741" s="2">
        <v>1</v>
      </c>
      <c r="I741" t="s">
        <v>34</v>
      </c>
      <c r="J741" s="9"/>
      <c r="K741" t="str">
        <f t="shared" si="11"/>
        <v>REGULAR</v>
      </c>
    </row>
    <row r="742" spans="1:11" hidden="1" x14ac:dyDescent="0.25">
      <c r="F742" t="s">
        <v>969</v>
      </c>
      <c r="G742" s="2">
        <v>1</v>
      </c>
      <c r="I742" t="s">
        <v>34</v>
      </c>
      <c r="J742" s="9"/>
      <c r="K742" t="str">
        <f t="shared" si="11"/>
        <v>REGULAR</v>
      </c>
    </row>
    <row r="743" spans="1:11" x14ac:dyDescent="0.25">
      <c r="A743" t="s">
        <v>1236</v>
      </c>
      <c r="B743" s="8">
        <v>45788</v>
      </c>
      <c r="C743" t="s">
        <v>724</v>
      </c>
      <c r="D743" t="s">
        <v>18</v>
      </c>
      <c r="E743" t="s">
        <v>607</v>
      </c>
      <c r="F743" t="s">
        <v>903</v>
      </c>
      <c r="G743" s="2">
        <v>1</v>
      </c>
      <c r="H743" s="2">
        <v>129</v>
      </c>
      <c r="I743" t="s">
        <v>34</v>
      </c>
      <c r="J743" s="9"/>
      <c r="K743" t="str">
        <f t="shared" si="11"/>
        <v>SUBSCRIPTION</v>
      </c>
    </row>
    <row r="744" spans="1:11" x14ac:dyDescent="0.25">
      <c r="A744" t="s">
        <v>1237</v>
      </c>
      <c r="B744" s="8">
        <v>45788</v>
      </c>
      <c r="C744" t="s">
        <v>724</v>
      </c>
      <c r="D744" t="s">
        <v>21</v>
      </c>
      <c r="E744" t="s">
        <v>607</v>
      </c>
      <c r="F744" t="s">
        <v>1026</v>
      </c>
      <c r="G744" s="2">
        <v>1</v>
      </c>
      <c r="H744" s="2">
        <v>117</v>
      </c>
      <c r="I744" t="s">
        <v>34</v>
      </c>
      <c r="J744" s="9"/>
      <c r="K744" t="str">
        <f t="shared" si="11"/>
        <v>SUBSCRIPTION</v>
      </c>
    </row>
    <row r="745" spans="1:11" x14ac:dyDescent="0.25">
      <c r="A745" t="s">
        <v>1238</v>
      </c>
      <c r="B745" s="8">
        <v>45788</v>
      </c>
      <c r="C745" t="s">
        <v>724</v>
      </c>
      <c r="D745" t="s">
        <v>10</v>
      </c>
      <c r="E745" t="s">
        <v>607</v>
      </c>
      <c r="F745" t="s">
        <v>1239</v>
      </c>
      <c r="G745" s="2">
        <v>1</v>
      </c>
      <c r="H745" s="2">
        <v>149</v>
      </c>
      <c r="I745" t="s">
        <v>34</v>
      </c>
      <c r="J745" s="9"/>
      <c r="K745" t="str">
        <f t="shared" si="11"/>
        <v>SUBSCRIPTION</v>
      </c>
    </row>
    <row r="746" spans="1:11" x14ac:dyDescent="0.25">
      <c r="A746" t="s">
        <v>1240</v>
      </c>
      <c r="B746" s="8">
        <v>45788</v>
      </c>
      <c r="C746" t="s">
        <v>724</v>
      </c>
      <c r="D746" t="s">
        <v>21</v>
      </c>
      <c r="E746" t="s">
        <v>607</v>
      </c>
      <c r="F746" t="s">
        <v>908</v>
      </c>
      <c r="G746" s="2">
        <v>1</v>
      </c>
      <c r="H746" s="2">
        <v>99</v>
      </c>
      <c r="I746" t="s">
        <v>11</v>
      </c>
      <c r="J746" s="9"/>
      <c r="K746" t="str">
        <f t="shared" si="11"/>
        <v>SUBSCRIPTION</v>
      </c>
    </row>
    <row r="747" spans="1:11" hidden="1" x14ac:dyDescent="0.25">
      <c r="A747" t="s">
        <v>1241</v>
      </c>
      <c r="B747" s="8">
        <v>45788</v>
      </c>
      <c r="C747" t="s">
        <v>724</v>
      </c>
      <c r="D747" t="s">
        <v>10</v>
      </c>
      <c r="E747" t="s">
        <v>623</v>
      </c>
      <c r="F747" t="s">
        <v>697</v>
      </c>
      <c r="G747" s="2">
        <v>1</v>
      </c>
      <c r="H747" s="2">
        <v>699</v>
      </c>
      <c r="I747" t="s">
        <v>34</v>
      </c>
      <c r="J747" s="9"/>
      <c r="K747" t="str">
        <f t="shared" si="11"/>
        <v>REGULAR</v>
      </c>
    </row>
    <row r="748" spans="1:11" hidden="1" x14ac:dyDescent="0.25">
      <c r="A748" t="s">
        <v>1242</v>
      </c>
      <c r="B748" s="8">
        <v>45788</v>
      </c>
      <c r="C748" t="s">
        <v>724</v>
      </c>
      <c r="D748" t="s">
        <v>10</v>
      </c>
      <c r="E748" t="s">
        <v>623</v>
      </c>
      <c r="F748" t="s">
        <v>428</v>
      </c>
      <c r="G748" s="2">
        <v>1</v>
      </c>
      <c r="H748" s="2">
        <v>190</v>
      </c>
      <c r="I748" t="s">
        <v>11</v>
      </c>
      <c r="J748" s="9"/>
      <c r="K748" t="str">
        <f t="shared" si="11"/>
        <v>REGULAR</v>
      </c>
    </row>
    <row r="749" spans="1:11" hidden="1" x14ac:dyDescent="0.25">
      <c r="F749" t="s">
        <v>699</v>
      </c>
      <c r="G749" s="2">
        <v>1</v>
      </c>
      <c r="I749" t="s">
        <v>11</v>
      </c>
      <c r="J749" s="9"/>
      <c r="K749" t="str">
        <f t="shared" si="11"/>
        <v>REGULAR</v>
      </c>
    </row>
    <row r="750" spans="1:11" ht="15.75" hidden="1" customHeight="1" x14ac:dyDescent="0.25">
      <c r="A750" t="s">
        <v>1243</v>
      </c>
      <c r="B750" s="8">
        <v>45788</v>
      </c>
      <c r="C750" t="s">
        <v>724</v>
      </c>
      <c r="D750" t="s">
        <v>10</v>
      </c>
      <c r="E750" t="s">
        <v>623</v>
      </c>
      <c r="F750" t="s">
        <v>469</v>
      </c>
      <c r="G750" s="2">
        <v>1</v>
      </c>
      <c r="H750" s="2">
        <v>170</v>
      </c>
      <c r="I750" t="s">
        <v>34</v>
      </c>
      <c r="J750" s="9"/>
      <c r="K750" t="str">
        <f t="shared" si="11"/>
        <v>REGULAR</v>
      </c>
    </row>
    <row r="751" spans="1:11" hidden="1" x14ac:dyDescent="0.25">
      <c r="A751" t="s">
        <v>1244</v>
      </c>
      <c r="B751" s="8">
        <v>45788</v>
      </c>
      <c r="C751" t="s">
        <v>724</v>
      </c>
      <c r="D751" t="s">
        <v>10</v>
      </c>
      <c r="E751" t="s">
        <v>623</v>
      </c>
      <c r="F751" t="s">
        <v>699</v>
      </c>
      <c r="G751" s="2">
        <v>1</v>
      </c>
      <c r="H751" s="2">
        <v>150</v>
      </c>
      <c r="I751" t="s">
        <v>11</v>
      </c>
      <c r="J751" s="9"/>
      <c r="K751" t="str">
        <f t="shared" si="11"/>
        <v>REGULAR</v>
      </c>
    </row>
    <row r="752" spans="1:11" hidden="1" x14ac:dyDescent="0.25">
      <c r="F752" t="s">
        <v>488</v>
      </c>
      <c r="G752" s="2">
        <v>1</v>
      </c>
      <c r="I752" t="s">
        <v>11</v>
      </c>
      <c r="J752" s="9"/>
      <c r="K752" t="str">
        <f t="shared" si="11"/>
        <v>REGULAR</v>
      </c>
    </row>
    <row r="753" spans="1:11" hidden="1" x14ac:dyDescent="0.25">
      <c r="A753" t="s">
        <v>1245</v>
      </c>
      <c r="B753" s="8">
        <v>45788</v>
      </c>
      <c r="C753" t="s">
        <v>724</v>
      </c>
      <c r="D753" t="s">
        <v>10</v>
      </c>
      <c r="E753" t="s">
        <v>623</v>
      </c>
      <c r="F753" t="s">
        <v>392</v>
      </c>
      <c r="G753" s="2">
        <v>1</v>
      </c>
      <c r="H753" s="2">
        <v>190</v>
      </c>
      <c r="I753" t="s">
        <v>34</v>
      </c>
      <c r="J753" s="9"/>
      <c r="K753" t="str">
        <f t="shared" si="11"/>
        <v>REGULAR</v>
      </c>
    </row>
    <row r="754" spans="1:11" hidden="1" x14ac:dyDescent="0.25">
      <c r="A754" t="s">
        <v>1246</v>
      </c>
      <c r="B754" s="8">
        <v>45788</v>
      </c>
      <c r="C754" t="s">
        <v>724</v>
      </c>
      <c r="D754" t="s">
        <v>10</v>
      </c>
      <c r="E754" t="s">
        <v>623</v>
      </c>
      <c r="F754" t="s">
        <v>697</v>
      </c>
      <c r="G754" s="2">
        <v>1</v>
      </c>
      <c r="H754" s="2">
        <v>699</v>
      </c>
      <c r="I754" t="s">
        <v>34</v>
      </c>
      <c r="J754" s="9"/>
      <c r="K754" t="str">
        <f t="shared" si="11"/>
        <v>REGULAR</v>
      </c>
    </row>
    <row r="755" spans="1:11" hidden="1" x14ac:dyDescent="0.25">
      <c r="A755" t="s">
        <v>1247</v>
      </c>
      <c r="B755" s="8">
        <v>45788</v>
      </c>
      <c r="C755" t="s">
        <v>724</v>
      </c>
      <c r="D755" t="s">
        <v>10</v>
      </c>
      <c r="E755" t="s">
        <v>623</v>
      </c>
      <c r="F755" t="s">
        <v>406</v>
      </c>
      <c r="G755" s="2">
        <v>1</v>
      </c>
      <c r="H755" s="2">
        <v>655</v>
      </c>
      <c r="I755" t="s">
        <v>34</v>
      </c>
      <c r="J755" s="9"/>
      <c r="K755" t="str">
        <f t="shared" si="11"/>
        <v>REGULAR</v>
      </c>
    </row>
    <row r="756" spans="1:11" hidden="1" x14ac:dyDescent="0.25">
      <c r="F756" t="s">
        <v>71</v>
      </c>
      <c r="G756" s="2">
        <v>1</v>
      </c>
      <c r="I756" t="s">
        <v>11</v>
      </c>
      <c r="J756" s="9"/>
      <c r="K756" t="str">
        <f t="shared" si="11"/>
        <v>REGULAR</v>
      </c>
    </row>
    <row r="757" spans="1:11" hidden="1" x14ac:dyDescent="0.25">
      <c r="F757" t="s">
        <v>752</v>
      </c>
      <c r="G757" s="2">
        <v>1</v>
      </c>
      <c r="I757" t="s">
        <v>34</v>
      </c>
      <c r="J757" s="9"/>
      <c r="K757" t="str">
        <f t="shared" si="11"/>
        <v>REGULAR</v>
      </c>
    </row>
    <row r="758" spans="1:11" hidden="1" x14ac:dyDescent="0.25">
      <c r="F758" t="s">
        <v>437</v>
      </c>
      <c r="G758" s="2">
        <v>1</v>
      </c>
      <c r="I758" t="s">
        <v>34</v>
      </c>
      <c r="J758" s="9"/>
      <c r="K758" t="str">
        <f t="shared" si="11"/>
        <v>REGULAR</v>
      </c>
    </row>
    <row r="759" spans="1:11" hidden="1" x14ac:dyDescent="0.25">
      <c r="A759" t="s">
        <v>1249</v>
      </c>
      <c r="B759" s="8">
        <v>45788</v>
      </c>
      <c r="C759" t="s">
        <v>724</v>
      </c>
      <c r="D759" t="s">
        <v>10</v>
      </c>
      <c r="E759" t="s">
        <v>623</v>
      </c>
      <c r="F759" t="s">
        <v>488</v>
      </c>
      <c r="G759" s="2">
        <v>1</v>
      </c>
      <c r="H759" s="2">
        <v>280</v>
      </c>
      <c r="I759" t="s">
        <v>11</v>
      </c>
      <c r="J759" s="9"/>
      <c r="K759" t="str">
        <f t="shared" si="11"/>
        <v>REGULAR</v>
      </c>
    </row>
    <row r="760" spans="1:11" hidden="1" x14ac:dyDescent="0.25">
      <c r="F760" t="s">
        <v>450</v>
      </c>
      <c r="G760" s="2">
        <v>1</v>
      </c>
      <c r="I760" t="s">
        <v>11</v>
      </c>
      <c r="J760" s="9"/>
      <c r="K760" t="str">
        <f t="shared" si="11"/>
        <v>REGULAR</v>
      </c>
    </row>
    <row r="761" spans="1:11" hidden="1" x14ac:dyDescent="0.25">
      <c r="F761" t="s">
        <v>1174</v>
      </c>
      <c r="G761" s="2">
        <v>1</v>
      </c>
      <c r="I761" t="s">
        <v>34</v>
      </c>
      <c r="J761" s="9"/>
      <c r="K761" t="str">
        <f t="shared" si="11"/>
        <v>REGULAR</v>
      </c>
    </row>
    <row r="762" spans="1:11" x14ac:dyDescent="0.25">
      <c r="A762" t="s">
        <v>1248</v>
      </c>
      <c r="B762" s="8">
        <v>45789</v>
      </c>
      <c r="C762" t="s">
        <v>736</v>
      </c>
      <c r="D762" t="s">
        <v>10</v>
      </c>
      <c r="E762" t="s">
        <v>607</v>
      </c>
      <c r="F762" t="s">
        <v>926</v>
      </c>
      <c r="G762" s="2">
        <v>1</v>
      </c>
      <c r="H762" s="2">
        <v>129</v>
      </c>
      <c r="I762" t="s">
        <v>11</v>
      </c>
      <c r="J762" s="9"/>
      <c r="K762" t="str">
        <f t="shared" si="11"/>
        <v>SUBSCRIPTION</v>
      </c>
    </row>
    <row r="763" spans="1:11" x14ac:dyDescent="0.25">
      <c r="A763" t="s">
        <v>1250</v>
      </c>
      <c r="B763" s="8">
        <v>45789</v>
      </c>
      <c r="C763" t="s">
        <v>736</v>
      </c>
      <c r="D763" t="s">
        <v>10</v>
      </c>
      <c r="E763" t="s">
        <v>607</v>
      </c>
      <c r="F763" t="s">
        <v>1126</v>
      </c>
      <c r="G763" s="2">
        <v>1</v>
      </c>
      <c r="H763" s="2">
        <v>129</v>
      </c>
      <c r="I763" t="s">
        <v>11</v>
      </c>
      <c r="J763" s="9"/>
      <c r="K763" t="str">
        <f t="shared" si="11"/>
        <v>SUBSCRIPTION</v>
      </c>
    </row>
    <row r="764" spans="1:11" x14ac:dyDescent="0.25">
      <c r="A764" t="s">
        <v>1253</v>
      </c>
      <c r="B764" s="8">
        <v>45789</v>
      </c>
      <c r="C764" t="s">
        <v>736</v>
      </c>
      <c r="D764" t="s">
        <v>21</v>
      </c>
      <c r="E764" t="s">
        <v>607</v>
      </c>
      <c r="F764" t="s">
        <v>921</v>
      </c>
      <c r="G764" s="2">
        <v>1</v>
      </c>
      <c r="H764" s="2">
        <v>79</v>
      </c>
      <c r="I764" t="s">
        <v>11</v>
      </c>
      <c r="J764" s="9"/>
      <c r="K764" t="str">
        <f t="shared" si="11"/>
        <v>SUBSCRIPTION</v>
      </c>
    </row>
    <row r="765" spans="1:11" x14ac:dyDescent="0.25">
      <c r="A765" t="s">
        <v>1254</v>
      </c>
      <c r="B765" s="8">
        <v>45789</v>
      </c>
      <c r="C765" t="s">
        <v>736</v>
      </c>
      <c r="D765" t="s">
        <v>21</v>
      </c>
      <c r="E765" t="s">
        <v>607</v>
      </c>
      <c r="F765" t="s">
        <v>1252</v>
      </c>
      <c r="G765" s="2">
        <v>1</v>
      </c>
      <c r="H765" s="2">
        <v>112</v>
      </c>
      <c r="I765" t="s">
        <v>11</v>
      </c>
      <c r="J765" s="9"/>
      <c r="K765" t="str">
        <f t="shared" si="11"/>
        <v>SUBSCRIPTION</v>
      </c>
    </row>
    <row r="766" spans="1:11" x14ac:dyDescent="0.25">
      <c r="A766" t="s">
        <v>1251</v>
      </c>
      <c r="B766" s="8">
        <v>45789</v>
      </c>
      <c r="C766" t="s">
        <v>736</v>
      </c>
      <c r="D766" t="s">
        <v>18</v>
      </c>
      <c r="E766" t="s">
        <v>607</v>
      </c>
      <c r="F766" t="s">
        <v>756</v>
      </c>
      <c r="G766" s="2">
        <v>1</v>
      </c>
      <c r="H766" s="2">
        <v>79</v>
      </c>
      <c r="I766" t="s">
        <v>11</v>
      </c>
      <c r="J766" s="9"/>
      <c r="K766" t="str">
        <f t="shared" si="11"/>
        <v>SUBSCRIPTION</v>
      </c>
    </row>
    <row r="767" spans="1:11" x14ac:dyDescent="0.25">
      <c r="A767" t="s">
        <v>1255</v>
      </c>
      <c r="B767" s="8">
        <v>45789</v>
      </c>
      <c r="C767" t="s">
        <v>736</v>
      </c>
      <c r="D767" t="s">
        <v>10</v>
      </c>
      <c r="E767" t="s">
        <v>607</v>
      </c>
      <c r="F767" t="s">
        <v>768</v>
      </c>
      <c r="G767" s="2">
        <v>1</v>
      </c>
      <c r="H767" s="2">
        <v>99</v>
      </c>
      <c r="I767" t="s">
        <v>11</v>
      </c>
      <c r="J767" s="9"/>
      <c r="K767" t="str">
        <f t="shared" si="11"/>
        <v>SUBSCRIPTION</v>
      </c>
    </row>
    <row r="768" spans="1:11" hidden="1" x14ac:dyDescent="0.25">
      <c r="A768" t="s">
        <v>1256</v>
      </c>
      <c r="B768" s="8">
        <v>45789</v>
      </c>
      <c r="C768" t="s">
        <v>736</v>
      </c>
      <c r="D768" t="s">
        <v>10</v>
      </c>
      <c r="E768" t="s">
        <v>623</v>
      </c>
      <c r="F768" t="s">
        <v>392</v>
      </c>
      <c r="G768" s="2">
        <v>1</v>
      </c>
      <c r="H768" s="2">
        <v>600</v>
      </c>
      <c r="I768" t="s">
        <v>34</v>
      </c>
      <c r="J768" s="9"/>
      <c r="K768" t="str">
        <f t="shared" si="11"/>
        <v>REGULAR</v>
      </c>
    </row>
    <row r="769" spans="1:11" hidden="1" x14ac:dyDescent="0.25">
      <c r="F769" t="s">
        <v>438</v>
      </c>
      <c r="G769" s="2">
        <v>1</v>
      </c>
      <c r="I769" t="s">
        <v>34</v>
      </c>
      <c r="J769" s="9"/>
      <c r="K769" t="str">
        <f t="shared" si="11"/>
        <v>REGULAR</v>
      </c>
    </row>
    <row r="770" spans="1:11" hidden="1" x14ac:dyDescent="0.25">
      <c r="F770" t="s">
        <v>418</v>
      </c>
      <c r="G770" s="2">
        <v>1</v>
      </c>
      <c r="I770" t="s">
        <v>34</v>
      </c>
      <c r="J770" s="9"/>
      <c r="K770" t="str">
        <f t="shared" ref="K770:K833" si="12">IF(E770&lt;&gt;"", E770, K769)</f>
        <v>REGULAR</v>
      </c>
    </row>
    <row r="771" spans="1:11" hidden="1" x14ac:dyDescent="0.25">
      <c r="A771" t="s">
        <v>1257</v>
      </c>
      <c r="B771" s="8">
        <v>45789</v>
      </c>
      <c r="C771" t="s">
        <v>736</v>
      </c>
      <c r="D771" t="s">
        <v>10</v>
      </c>
      <c r="E771" t="s">
        <v>623</v>
      </c>
      <c r="F771" t="s">
        <v>71</v>
      </c>
      <c r="G771" s="2">
        <v>1</v>
      </c>
      <c r="H771" s="2">
        <v>205</v>
      </c>
      <c r="I771" t="s">
        <v>11</v>
      </c>
      <c r="J771" s="9"/>
      <c r="K771" t="str">
        <f t="shared" si="12"/>
        <v>REGULAR</v>
      </c>
    </row>
    <row r="772" spans="1:11" hidden="1" x14ac:dyDescent="0.25">
      <c r="F772" t="s">
        <v>646</v>
      </c>
      <c r="G772" s="2">
        <v>1</v>
      </c>
      <c r="I772" t="s">
        <v>11</v>
      </c>
      <c r="J772" s="9"/>
      <c r="K772" t="str">
        <f t="shared" si="12"/>
        <v>REGULAR</v>
      </c>
    </row>
    <row r="773" spans="1:11" hidden="1" x14ac:dyDescent="0.25">
      <c r="A773" t="s">
        <v>1258</v>
      </c>
      <c r="B773" s="8">
        <v>45789</v>
      </c>
      <c r="C773" t="s">
        <v>736</v>
      </c>
      <c r="D773" t="s">
        <v>10</v>
      </c>
      <c r="E773" t="s">
        <v>623</v>
      </c>
      <c r="F773" t="s">
        <v>470</v>
      </c>
      <c r="G773" s="2">
        <v>1</v>
      </c>
      <c r="H773" s="2">
        <v>170</v>
      </c>
      <c r="I773" t="s">
        <v>34</v>
      </c>
      <c r="J773" s="9"/>
      <c r="K773" t="str">
        <f t="shared" si="12"/>
        <v>REGULAR</v>
      </c>
    </row>
    <row r="774" spans="1:11" hidden="1" x14ac:dyDescent="0.25">
      <c r="A774" t="s">
        <v>1259</v>
      </c>
      <c r="B774" s="8">
        <v>45789</v>
      </c>
      <c r="C774" t="s">
        <v>736</v>
      </c>
      <c r="D774" t="s">
        <v>10</v>
      </c>
      <c r="E774" t="s">
        <v>623</v>
      </c>
      <c r="F774" t="s">
        <v>392</v>
      </c>
      <c r="G774" s="2">
        <v>1</v>
      </c>
      <c r="H774" s="2">
        <v>190</v>
      </c>
      <c r="I774" t="s">
        <v>34</v>
      </c>
      <c r="J774" s="9"/>
      <c r="K774" t="str">
        <f t="shared" si="12"/>
        <v>REGULAR</v>
      </c>
    </row>
    <row r="775" spans="1:11" hidden="1" x14ac:dyDescent="0.25">
      <c r="A775" t="s">
        <v>1260</v>
      </c>
      <c r="B775" s="8">
        <v>45789</v>
      </c>
      <c r="C775" t="s">
        <v>736</v>
      </c>
      <c r="D775" t="s">
        <v>10</v>
      </c>
      <c r="E775" t="s">
        <v>623</v>
      </c>
      <c r="F775" t="s">
        <v>667</v>
      </c>
      <c r="G775" s="2">
        <v>1</v>
      </c>
      <c r="H775" s="2">
        <v>255</v>
      </c>
      <c r="I775" t="s">
        <v>11</v>
      </c>
      <c r="J775" s="9"/>
      <c r="K775" t="str">
        <f t="shared" si="12"/>
        <v>REGULAR</v>
      </c>
    </row>
    <row r="776" spans="1:11" hidden="1" x14ac:dyDescent="0.25">
      <c r="F776" t="s">
        <v>492</v>
      </c>
      <c r="G776" s="2">
        <v>1</v>
      </c>
      <c r="I776" t="s">
        <v>11</v>
      </c>
      <c r="J776" s="9"/>
      <c r="K776" t="str">
        <f t="shared" si="12"/>
        <v>REGULAR</v>
      </c>
    </row>
    <row r="777" spans="1:11" hidden="1" x14ac:dyDescent="0.25">
      <c r="F777" t="s">
        <v>1174</v>
      </c>
      <c r="G777" s="2">
        <v>1</v>
      </c>
      <c r="I777" t="s">
        <v>34</v>
      </c>
      <c r="J777" s="9"/>
      <c r="K777" t="str">
        <f t="shared" si="12"/>
        <v>REGULAR</v>
      </c>
    </row>
    <row r="778" spans="1:11" hidden="1" x14ac:dyDescent="0.25">
      <c r="A778" t="s">
        <v>1261</v>
      </c>
      <c r="B778" s="8">
        <v>45789</v>
      </c>
      <c r="C778" t="s">
        <v>736</v>
      </c>
      <c r="D778" t="s">
        <v>10</v>
      </c>
      <c r="E778" t="s">
        <v>623</v>
      </c>
      <c r="F778" t="s">
        <v>430</v>
      </c>
      <c r="G778" s="2">
        <v>1</v>
      </c>
      <c r="H778" s="2">
        <v>210</v>
      </c>
      <c r="I778" t="s">
        <v>11</v>
      </c>
      <c r="J778" s="9"/>
      <c r="K778" t="str">
        <f t="shared" si="12"/>
        <v>REGULAR</v>
      </c>
    </row>
    <row r="779" spans="1:11" hidden="1" x14ac:dyDescent="0.25">
      <c r="F779" t="s">
        <v>451</v>
      </c>
      <c r="G779" s="2">
        <v>1</v>
      </c>
      <c r="I779" t="s">
        <v>11</v>
      </c>
      <c r="J779" s="9"/>
      <c r="K779" t="str">
        <f t="shared" si="12"/>
        <v>REGULAR</v>
      </c>
    </row>
    <row r="780" spans="1:11" x14ac:dyDescent="0.25">
      <c r="A780" t="s">
        <v>1262</v>
      </c>
      <c r="B780" s="8">
        <v>45790</v>
      </c>
      <c r="C780" t="s">
        <v>606</v>
      </c>
      <c r="D780" t="s">
        <v>18</v>
      </c>
      <c r="E780" t="s">
        <v>607</v>
      </c>
      <c r="F780" t="s">
        <v>614</v>
      </c>
      <c r="G780" s="2">
        <v>1</v>
      </c>
      <c r="H780" s="2">
        <v>99</v>
      </c>
      <c r="I780" t="s">
        <v>11</v>
      </c>
      <c r="J780" s="9"/>
      <c r="K780" t="str">
        <f t="shared" si="12"/>
        <v>SUBSCRIPTION</v>
      </c>
    </row>
    <row r="781" spans="1:11" x14ac:dyDescent="0.25">
      <c r="A781" t="s">
        <v>1263</v>
      </c>
      <c r="B781" s="8">
        <v>45790</v>
      </c>
      <c r="C781" t="s">
        <v>606</v>
      </c>
      <c r="D781" t="s">
        <v>21</v>
      </c>
      <c r="E781" t="s">
        <v>607</v>
      </c>
      <c r="F781" t="s">
        <v>933</v>
      </c>
      <c r="G781" s="2">
        <v>1</v>
      </c>
      <c r="H781" s="2">
        <v>99</v>
      </c>
      <c r="I781" t="s">
        <v>11</v>
      </c>
      <c r="J781" s="9"/>
      <c r="K781" t="str">
        <f t="shared" si="12"/>
        <v>SUBSCRIPTION</v>
      </c>
    </row>
    <row r="782" spans="1:11" x14ac:dyDescent="0.25">
      <c r="A782" t="s">
        <v>1264</v>
      </c>
      <c r="B782" s="8">
        <v>45790</v>
      </c>
      <c r="C782" t="s">
        <v>606</v>
      </c>
      <c r="D782" t="s">
        <v>21</v>
      </c>
      <c r="E782" t="s">
        <v>607</v>
      </c>
      <c r="F782" t="s">
        <v>933</v>
      </c>
      <c r="G782" s="2">
        <v>1</v>
      </c>
      <c r="H782" s="2">
        <v>99</v>
      </c>
      <c r="I782" t="s">
        <v>11</v>
      </c>
      <c r="J782" s="9"/>
      <c r="K782" t="str">
        <f t="shared" si="12"/>
        <v>SUBSCRIPTION</v>
      </c>
    </row>
    <row r="783" spans="1:11" x14ac:dyDescent="0.25">
      <c r="A783" t="s">
        <v>1265</v>
      </c>
      <c r="B783" s="8">
        <v>45790</v>
      </c>
      <c r="C783" t="s">
        <v>606</v>
      </c>
      <c r="D783" t="s">
        <v>10</v>
      </c>
      <c r="E783" t="s">
        <v>607</v>
      </c>
      <c r="F783" t="s">
        <v>1266</v>
      </c>
      <c r="G783" s="2">
        <v>1</v>
      </c>
      <c r="H783" s="2">
        <v>99</v>
      </c>
      <c r="I783" t="s">
        <v>11</v>
      </c>
      <c r="J783" s="9"/>
      <c r="K783" t="str">
        <f t="shared" si="12"/>
        <v>SUBSCRIPTION</v>
      </c>
    </row>
    <row r="784" spans="1:11" x14ac:dyDescent="0.25">
      <c r="A784" t="s">
        <v>1267</v>
      </c>
      <c r="B784" s="8">
        <v>45790</v>
      </c>
      <c r="C784" t="s">
        <v>606</v>
      </c>
      <c r="D784" t="s">
        <v>10</v>
      </c>
      <c r="E784" t="s">
        <v>607</v>
      </c>
      <c r="F784" t="s">
        <v>934</v>
      </c>
      <c r="G784" s="2">
        <v>1</v>
      </c>
      <c r="H784" s="2">
        <v>129</v>
      </c>
      <c r="I784" t="s">
        <v>11</v>
      </c>
      <c r="J784" s="9"/>
      <c r="K784" t="str">
        <f t="shared" si="12"/>
        <v>SUBSCRIPTION</v>
      </c>
    </row>
    <row r="785" spans="1:11" x14ac:dyDescent="0.25">
      <c r="A785" t="s">
        <v>1268</v>
      </c>
      <c r="B785" s="8">
        <v>45790</v>
      </c>
      <c r="C785" t="s">
        <v>606</v>
      </c>
      <c r="D785" t="s">
        <v>10</v>
      </c>
      <c r="E785" t="s">
        <v>607</v>
      </c>
      <c r="F785" t="s">
        <v>1140</v>
      </c>
      <c r="G785" s="2">
        <v>1</v>
      </c>
      <c r="H785" s="2">
        <v>129</v>
      </c>
      <c r="I785" t="s">
        <v>11</v>
      </c>
      <c r="J785" s="9"/>
      <c r="K785" t="str">
        <f t="shared" si="12"/>
        <v>SUBSCRIPTION</v>
      </c>
    </row>
    <row r="786" spans="1:11" x14ac:dyDescent="0.25">
      <c r="A786" t="s">
        <v>1269</v>
      </c>
      <c r="B786" s="8">
        <v>45790</v>
      </c>
      <c r="C786" t="s">
        <v>606</v>
      </c>
      <c r="D786" t="s">
        <v>10</v>
      </c>
      <c r="E786" t="s">
        <v>607</v>
      </c>
      <c r="F786" t="s">
        <v>1140</v>
      </c>
      <c r="G786" s="2">
        <v>1</v>
      </c>
      <c r="H786" s="2">
        <v>129</v>
      </c>
      <c r="I786" t="s">
        <v>11</v>
      </c>
      <c r="J786" s="9"/>
      <c r="K786" t="str">
        <f t="shared" si="12"/>
        <v>SUBSCRIPTION</v>
      </c>
    </row>
    <row r="787" spans="1:11" x14ac:dyDescent="0.25">
      <c r="A787" t="s">
        <v>1270</v>
      </c>
      <c r="B787" s="8">
        <v>45790</v>
      </c>
      <c r="C787" t="s">
        <v>606</v>
      </c>
      <c r="D787" t="s">
        <v>21</v>
      </c>
      <c r="E787" t="s">
        <v>607</v>
      </c>
      <c r="F787" t="s">
        <v>933</v>
      </c>
      <c r="G787" s="2">
        <v>1</v>
      </c>
      <c r="H787" s="2">
        <v>99</v>
      </c>
      <c r="I787" t="s">
        <v>11</v>
      </c>
      <c r="J787" s="9"/>
      <c r="K787" t="str">
        <f t="shared" si="12"/>
        <v>SUBSCRIPTION</v>
      </c>
    </row>
    <row r="788" spans="1:11" x14ac:dyDescent="0.25">
      <c r="A788" t="s">
        <v>1271</v>
      </c>
      <c r="B788" s="8">
        <v>45790</v>
      </c>
      <c r="C788" t="s">
        <v>606</v>
      </c>
      <c r="D788" t="s">
        <v>18</v>
      </c>
      <c r="E788" t="s">
        <v>607</v>
      </c>
      <c r="F788" t="s">
        <v>614</v>
      </c>
      <c r="G788" s="2">
        <v>1</v>
      </c>
      <c r="H788" s="2">
        <v>99</v>
      </c>
      <c r="I788" t="s">
        <v>11</v>
      </c>
      <c r="J788" s="9"/>
      <c r="K788" t="str">
        <f t="shared" si="12"/>
        <v>SUBSCRIPTION</v>
      </c>
    </row>
    <row r="789" spans="1:11" hidden="1" x14ac:dyDescent="0.25">
      <c r="A789" t="s">
        <v>1272</v>
      </c>
      <c r="B789" s="8">
        <v>45790</v>
      </c>
      <c r="C789" t="s">
        <v>606</v>
      </c>
      <c r="D789" t="s">
        <v>10</v>
      </c>
      <c r="E789" t="s">
        <v>623</v>
      </c>
      <c r="F789" t="s">
        <v>491</v>
      </c>
      <c r="G789" s="2">
        <v>1</v>
      </c>
      <c r="H789" s="2">
        <v>205</v>
      </c>
      <c r="I789" t="s">
        <v>11</v>
      </c>
      <c r="J789" s="9"/>
      <c r="K789" t="str">
        <f t="shared" si="12"/>
        <v>REGULAR</v>
      </c>
    </row>
    <row r="790" spans="1:11" hidden="1" x14ac:dyDescent="0.25">
      <c r="F790" t="s">
        <v>492</v>
      </c>
      <c r="G790" s="2">
        <v>1</v>
      </c>
      <c r="I790" t="s">
        <v>11</v>
      </c>
      <c r="J790" s="9"/>
      <c r="K790" t="str">
        <f t="shared" si="12"/>
        <v>REGULAR</v>
      </c>
    </row>
    <row r="791" spans="1:11" hidden="1" x14ac:dyDescent="0.25">
      <c r="F791" t="s">
        <v>721</v>
      </c>
      <c r="G791" s="2">
        <v>1</v>
      </c>
      <c r="I791" t="s">
        <v>11</v>
      </c>
      <c r="J791" s="9"/>
      <c r="K791" t="str">
        <f t="shared" si="12"/>
        <v>REGULAR</v>
      </c>
    </row>
    <row r="792" spans="1:11" hidden="1" x14ac:dyDescent="0.25">
      <c r="A792" t="s">
        <v>1273</v>
      </c>
      <c r="B792" s="8">
        <v>45790</v>
      </c>
      <c r="C792" t="s">
        <v>606</v>
      </c>
      <c r="D792" t="s">
        <v>10</v>
      </c>
      <c r="E792" t="s">
        <v>623</v>
      </c>
      <c r="F792" t="s">
        <v>431</v>
      </c>
      <c r="G792" s="2">
        <v>1</v>
      </c>
      <c r="H792" s="2">
        <v>130</v>
      </c>
      <c r="I792" t="s">
        <v>34</v>
      </c>
      <c r="J792" s="9"/>
      <c r="K792" t="str">
        <f t="shared" si="12"/>
        <v>REGULAR</v>
      </c>
    </row>
    <row r="793" spans="1:11" hidden="1" x14ac:dyDescent="0.25">
      <c r="A793" t="s">
        <v>1274</v>
      </c>
      <c r="B793" s="8">
        <v>45790</v>
      </c>
      <c r="C793" t="s">
        <v>606</v>
      </c>
      <c r="D793" t="s">
        <v>10</v>
      </c>
      <c r="E793" t="s">
        <v>623</v>
      </c>
      <c r="F793" t="s">
        <v>983</v>
      </c>
      <c r="G793" s="2">
        <v>1</v>
      </c>
      <c r="H793" s="2">
        <v>160</v>
      </c>
      <c r="I793" t="s">
        <v>11</v>
      </c>
      <c r="J793" s="9"/>
      <c r="K793" t="str">
        <f t="shared" si="12"/>
        <v>REGULAR</v>
      </c>
    </row>
    <row r="794" spans="1:11" hidden="1" x14ac:dyDescent="0.25">
      <c r="A794" t="s">
        <v>1275</v>
      </c>
      <c r="B794" s="8">
        <v>45790</v>
      </c>
      <c r="C794" t="s">
        <v>606</v>
      </c>
      <c r="D794" t="s">
        <v>10</v>
      </c>
      <c r="E794" t="s">
        <v>623</v>
      </c>
      <c r="F794" t="s">
        <v>475</v>
      </c>
      <c r="G794" s="2">
        <v>1</v>
      </c>
      <c r="H794" s="2">
        <v>95</v>
      </c>
      <c r="I794" t="s">
        <v>11</v>
      </c>
      <c r="J794" s="9"/>
      <c r="K794" t="str">
        <f t="shared" si="12"/>
        <v>REGULAR</v>
      </c>
    </row>
    <row r="795" spans="1:11" hidden="1" x14ac:dyDescent="0.25">
      <c r="A795" t="s">
        <v>1276</v>
      </c>
      <c r="B795" s="8">
        <v>45790</v>
      </c>
      <c r="C795" t="s">
        <v>606</v>
      </c>
      <c r="D795" t="s">
        <v>10</v>
      </c>
      <c r="E795" t="s">
        <v>623</v>
      </c>
      <c r="F795" t="s">
        <v>672</v>
      </c>
      <c r="G795" s="2">
        <v>1</v>
      </c>
      <c r="H795" s="2">
        <v>190</v>
      </c>
      <c r="I795" t="s">
        <v>11</v>
      </c>
      <c r="J795" s="9"/>
      <c r="K795" t="str">
        <f t="shared" si="12"/>
        <v>REGULAR</v>
      </c>
    </row>
    <row r="796" spans="1:11" hidden="1" x14ac:dyDescent="0.25">
      <c r="A796" t="s">
        <v>1277</v>
      </c>
      <c r="B796" s="8">
        <v>45790</v>
      </c>
      <c r="C796" t="s">
        <v>606</v>
      </c>
      <c r="D796" t="s">
        <v>10</v>
      </c>
      <c r="E796" t="s">
        <v>623</v>
      </c>
      <c r="F796" t="s">
        <v>469</v>
      </c>
      <c r="G796" s="2">
        <v>1</v>
      </c>
      <c r="H796" s="2">
        <v>170</v>
      </c>
      <c r="I796" t="s">
        <v>34</v>
      </c>
      <c r="J796" s="9"/>
      <c r="K796" t="str">
        <f t="shared" si="12"/>
        <v>REGULAR</v>
      </c>
    </row>
    <row r="797" spans="1:11" hidden="1" x14ac:dyDescent="0.25">
      <c r="A797" t="s">
        <v>1278</v>
      </c>
      <c r="B797" s="8">
        <v>45790</v>
      </c>
      <c r="C797" t="s">
        <v>606</v>
      </c>
      <c r="D797" t="s">
        <v>10</v>
      </c>
      <c r="E797" t="s">
        <v>623</v>
      </c>
      <c r="F797" t="s">
        <v>789</v>
      </c>
      <c r="G797" s="2">
        <v>1</v>
      </c>
      <c r="H797" s="2">
        <v>270</v>
      </c>
      <c r="I797" t="s">
        <v>11</v>
      </c>
      <c r="J797" s="9"/>
      <c r="K797" t="str">
        <f t="shared" si="12"/>
        <v>REGULAR</v>
      </c>
    </row>
    <row r="798" spans="1:11" hidden="1" x14ac:dyDescent="0.25">
      <c r="F798" t="s">
        <v>675</v>
      </c>
      <c r="G798" s="2">
        <v>1</v>
      </c>
      <c r="I798" t="s">
        <v>11</v>
      </c>
      <c r="J798" s="9"/>
      <c r="K798" t="str">
        <f t="shared" si="12"/>
        <v>REGULAR</v>
      </c>
    </row>
    <row r="799" spans="1:11" hidden="1" x14ac:dyDescent="0.25">
      <c r="F799" t="s">
        <v>428</v>
      </c>
      <c r="G799" s="2">
        <v>1</v>
      </c>
      <c r="I799" t="s">
        <v>11</v>
      </c>
      <c r="J799" s="9"/>
      <c r="K799" t="str">
        <f t="shared" si="12"/>
        <v>REGULAR</v>
      </c>
    </row>
    <row r="800" spans="1:11" hidden="1" x14ac:dyDescent="0.25">
      <c r="A800" t="s">
        <v>1279</v>
      </c>
      <c r="B800" s="8">
        <v>45790</v>
      </c>
      <c r="C800" t="s">
        <v>606</v>
      </c>
      <c r="D800" t="s">
        <v>10</v>
      </c>
      <c r="E800" t="s">
        <v>623</v>
      </c>
      <c r="F800" t="s">
        <v>428</v>
      </c>
      <c r="G800" s="2">
        <v>1</v>
      </c>
      <c r="H800" s="2">
        <v>180</v>
      </c>
      <c r="I800" t="s">
        <v>11</v>
      </c>
      <c r="J800" s="9"/>
      <c r="K800" t="str">
        <f t="shared" si="12"/>
        <v>REGULAR</v>
      </c>
    </row>
    <row r="801" spans="1:11" hidden="1" x14ac:dyDescent="0.25">
      <c r="F801" t="s">
        <v>404</v>
      </c>
      <c r="G801" s="2">
        <v>1</v>
      </c>
      <c r="I801" t="s">
        <v>34</v>
      </c>
      <c r="J801" s="9"/>
      <c r="K801" t="str">
        <f t="shared" si="12"/>
        <v>REGULAR</v>
      </c>
    </row>
    <row r="802" spans="1:11" hidden="1" x14ac:dyDescent="0.25">
      <c r="A802" t="s">
        <v>1280</v>
      </c>
      <c r="B802" s="8">
        <v>45790</v>
      </c>
      <c r="C802" t="s">
        <v>606</v>
      </c>
      <c r="D802" t="s">
        <v>10</v>
      </c>
      <c r="E802" t="s">
        <v>623</v>
      </c>
      <c r="F802" t="s">
        <v>392</v>
      </c>
      <c r="G802" s="2">
        <v>1</v>
      </c>
      <c r="H802" s="2">
        <v>520</v>
      </c>
      <c r="I802" t="s">
        <v>34</v>
      </c>
      <c r="J802" s="9"/>
      <c r="K802" t="str">
        <f t="shared" si="12"/>
        <v>REGULAR</v>
      </c>
    </row>
    <row r="803" spans="1:11" hidden="1" x14ac:dyDescent="0.25">
      <c r="F803" t="s">
        <v>470</v>
      </c>
      <c r="G803" s="2">
        <v>1</v>
      </c>
      <c r="I803" t="s">
        <v>34</v>
      </c>
      <c r="J803" s="9"/>
      <c r="K803" t="str">
        <f t="shared" si="12"/>
        <v>REGULAR</v>
      </c>
    </row>
    <row r="804" spans="1:11" hidden="1" x14ac:dyDescent="0.25">
      <c r="F804" t="s">
        <v>395</v>
      </c>
      <c r="G804" s="2">
        <v>1</v>
      </c>
      <c r="I804" t="s">
        <v>34</v>
      </c>
      <c r="J804" s="9"/>
      <c r="K804" t="str">
        <f t="shared" si="12"/>
        <v>REGULAR</v>
      </c>
    </row>
    <row r="805" spans="1:11" x14ac:dyDescent="0.25">
      <c r="A805" t="s">
        <v>1281</v>
      </c>
      <c r="B805" s="8">
        <v>45791</v>
      </c>
      <c r="C805" t="s">
        <v>632</v>
      </c>
      <c r="D805" t="s">
        <v>21</v>
      </c>
      <c r="E805" t="s">
        <v>607</v>
      </c>
      <c r="F805" t="s">
        <v>1282</v>
      </c>
      <c r="G805" s="2">
        <v>1</v>
      </c>
      <c r="H805" s="2">
        <v>79</v>
      </c>
      <c r="I805" t="s">
        <v>11</v>
      </c>
      <c r="J805" s="9"/>
      <c r="K805" t="str">
        <f t="shared" si="12"/>
        <v>SUBSCRIPTION</v>
      </c>
    </row>
    <row r="806" spans="1:11" x14ac:dyDescent="0.25">
      <c r="A806" t="s">
        <v>1286</v>
      </c>
      <c r="B806" s="8">
        <v>45791</v>
      </c>
      <c r="C806" t="s">
        <v>632</v>
      </c>
      <c r="D806" t="s">
        <v>10</v>
      </c>
      <c r="E806" t="s">
        <v>607</v>
      </c>
      <c r="F806" t="s">
        <v>1288</v>
      </c>
      <c r="G806" s="2">
        <v>1</v>
      </c>
      <c r="H806" s="2">
        <v>99</v>
      </c>
      <c r="I806" t="s">
        <v>11</v>
      </c>
      <c r="J806" s="9"/>
      <c r="K806" t="str">
        <f t="shared" si="12"/>
        <v>SUBSCRIPTION</v>
      </c>
    </row>
    <row r="807" spans="1:11" x14ac:dyDescent="0.25">
      <c r="A807" t="s">
        <v>1285</v>
      </c>
      <c r="B807" s="8">
        <v>45791</v>
      </c>
      <c r="C807" t="s">
        <v>632</v>
      </c>
      <c r="D807" t="s">
        <v>10</v>
      </c>
      <c r="E807" t="s">
        <v>607</v>
      </c>
      <c r="F807" t="s">
        <v>1283</v>
      </c>
      <c r="G807" s="2">
        <v>1</v>
      </c>
      <c r="H807" s="2">
        <v>112</v>
      </c>
      <c r="I807" t="s">
        <v>11</v>
      </c>
      <c r="J807" s="9"/>
      <c r="K807" t="str">
        <f t="shared" si="12"/>
        <v>SUBSCRIPTION</v>
      </c>
    </row>
    <row r="808" spans="1:11" x14ac:dyDescent="0.25">
      <c r="A808" t="s">
        <v>1284</v>
      </c>
      <c r="B808" s="8">
        <v>45791</v>
      </c>
      <c r="C808" t="s">
        <v>632</v>
      </c>
      <c r="D808" t="s">
        <v>18</v>
      </c>
      <c r="E808" t="s">
        <v>607</v>
      </c>
      <c r="F808" t="s">
        <v>952</v>
      </c>
      <c r="G808" s="2">
        <v>1</v>
      </c>
      <c r="H808" s="2">
        <v>99</v>
      </c>
      <c r="I808" t="s">
        <v>34</v>
      </c>
      <c r="J808" s="9"/>
      <c r="K808" t="str">
        <f t="shared" si="12"/>
        <v>SUBSCRIPTION</v>
      </c>
    </row>
    <row r="809" spans="1:11" x14ac:dyDescent="0.25">
      <c r="A809" t="s">
        <v>1287</v>
      </c>
      <c r="B809" s="8">
        <v>45791</v>
      </c>
      <c r="C809" t="s">
        <v>632</v>
      </c>
      <c r="D809" t="s">
        <v>10</v>
      </c>
      <c r="E809" t="s">
        <v>607</v>
      </c>
      <c r="F809" t="s">
        <v>1289</v>
      </c>
      <c r="G809" s="2">
        <v>1</v>
      </c>
      <c r="H809" s="2">
        <v>129</v>
      </c>
      <c r="I809" t="s">
        <v>11</v>
      </c>
      <c r="J809" s="9"/>
      <c r="K809" t="str">
        <f t="shared" si="12"/>
        <v>SUBSCRIPTION</v>
      </c>
    </row>
    <row r="810" spans="1:11" x14ac:dyDescent="0.25">
      <c r="A810" t="s">
        <v>1290</v>
      </c>
      <c r="B810" s="8">
        <v>45791</v>
      </c>
      <c r="C810" t="s">
        <v>632</v>
      </c>
      <c r="D810" t="s">
        <v>10</v>
      </c>
      <c r="E810" t="s">
        <v>607</v>
      </c>
      <c r="F810" t="s">
        <v>1288</v>
      </c>
      <c r="G810" s="2">
        <v>1</v>
      </c>
      <c r="H810" s="2">
        <v>99</v>
      </c>
      <c r="I810" t="s">
        <v>11</v>
      </c>
      <c r="J810" s="9"/>
      <c r="K810" t="str">
        <f t="shared" si="12"/>
        <v>SUBSCRIPTION</v>
      </c>
    </row>
    <row r="811" spans="1:11" x14ac:dyDescent="0.25">
      <c r="A811" t="s">
        <v>1291</v>
      </c>
      <c r="B811" s="8">
        <v>45791</v>
      </c>
      <c r="C811" t="s">
        <v>632</v>
      </c>
      <c r="D811" t="s">
        <v>18</v>
      </c>
      <c r="E811" t="s">
        <v>607</v>
      </c>
      <c r="F811" t="s">
        <v>952</v>
      </c>
      <c r="G811" s="2">
        <v>1</v>
      </c>
      <c r="H811" s="2">
        <v>99</v>
      </c>
      <c r="I811" t="s">
        <v>34</v>
      </c>
      <c r="J811" s="9"/>
      <c r="K811" t="str">
        <f t="shared" si="12"/>
        <v>SUBSCRIPTION</v>
      </c>
    </row>
    <row r="812" spans="1:11" x14ac:dyDescent="0.25">
      <c r="A812" t="s">
        <v>1292</v>
      </c>
      <c r="B812" s="8">
        <v>45791</v>
      </c>
      <c r="C812" t="s">
        <v>632</v>
      </c>
      <c r="D812" t="s">
        <v>21</v>
      </c>
      <c r="E812" t="s">
        <v>607</v>
      </c>
      <c r="F812" t="s">
        <v>1282</v>
      </c>
      <c r="G812" s="2">
        <v>1</v>
      </c>
      <c r="H812" s="2">
        <v>79</v>
      </c>
      <c r="I812" t="s">
        <v>11</v>
      </c>
      <c r="J812" s="9"/>
      <c r="K812" t="str">
        <f t="shared" si="12"/>
        <v>SUBSCRIPTION</v>
      </c>
    </row>
    <row r="813" spans="1:11" x14ac:dyDescent="0.25">
      <c r="A813" t="s">
        <v>1293</v>
      </c>
      <c r="B813" s="8">
        <v>45791</v>
      </c>
      <c r="C813" t="s">
        <v>632</v>
      </c>
      <c r="D813" t="s">
        <v>10</v>
      </c>
      <c r="E813" t="s">
        <v>607</v>
      </c>
      <c r="F813" t="s">
        <v>955</v>
      </c>
      <c r="G813" s="2">
        <v>1</v>
      </c>
      <c r="H813" s="2">
        <v>129</v>
      </c>
      <c r="I813" t="s">
        <v>11</v>
      </c>
      <c r="J813" s="9"/>
      <c r="K813" t="str">
        <f t="shared" si="12"/>
        <v>SUBSCRIPTION</v>
      </c>
    </row>
    <row r="814" spans="1:11" hidden="1" x14ac:dyDescent="0.25">
      <c r="A814" t="s">
        <v>1294</v>
      </c>
      <c r="B814" s="8">
        <v>45791</v>
      </c>
      <c r="C814" t="s">
        <v>632</v>
      </c>
      <c r="D814" t="s">
        <v>10</v>
      </c>
      <c r="E814" t="s">
        <v>623</v>
      </c>
      <c r="F814" t="s">
        <v>395</v>
      </c>
      <c r="G814" s="2">
        <v>1</v>
      </c>
      <c r="H814" s="2">
        <v>380</v>
      </c>
      <c r="I814" t="s">
        <v>34</v>
      </c>
      <c r="J814" s="9"/>
      <c r="K814" t="str">
        <f t="shared" si="12"/>
        <v>REGULAR</v>
      </c>
    </row>
    <row r="815" spans="1:11" hidden="1" x14ac:dyDescent="0.25">
      <c r="F815" t="s">
        <v>77</v>
      </c>
      <c r="G815" s="2">
        <v>1</v>
      </c>
      <c r="I815" t="s">
        <v>11</v>
      </c>
      <c r="J815" s="9"/>
      <c r="K815" t="str">
        <f t="shared" si="12"/>
        <v>REGULAR</v>
      </c>
    </row>
    <row r="816" spans="1:11" hidden="1" x14ac:dyDescent="0.25">
      <c r="F816" t="s">
        <v>497</v>
      </c>
      <c r="G816" s="2">
        <v>1</v>
      </c>
      <c r="I816" t="s">
        <v>11</v>
      </c>
      <c r="J816" s="9"/>
      <c r="K816" t="str">
        <f t="shared" si="12"/>
        <v>REGULAR</v>
      </c>
    </row>
    <row r="817" spans="1:11" hidden="1" x14ac:dyDescent="0.25">
      <c r="F817" t="s">
        <v>999</v>
      </c>
      <c r="G817" s="2">
        <v>1</v>
      </c>
      <c r="I817" t="s">
        <v>11</v>
      </c>
      <c r="J817" s="9"/>
      <c r="K817" t="str">
        <f t="shared" si="12"/>
        <v>REGULAR</v>
      </c>
    </row>
    <row r="818" spans="1:11" hidden="1" x14ac:dyDescent="0.25">
      <c r="A818" t="s">
        <v>1295</v>
      </c>
      <c r="B818" s="8">
        <v>45791</v>
      </c>
      <c r="C818" t="s">
        <v>632</v>
      </c>
      <c r="D818" t="s">
        <v>10</v>
      </c>
      <c r="E818" t="s">
        <v>623</v>
      </c>
      <c r="F818" t="s">
        <v>392</v>
      </c>
      <c r="G818" s="2">
        <v>1</v>
      </c>
      <c r="H818" s="2">
        <v>420</v>
      </c>
      <c r="I818" t="s">
        <v>34</v>
      </c>
      <c r="J818" s="9"/>
      <c r="K818" t="str">
        <f t="shared" si="12"/>
        <v>REGULAR</v>
      </c>
    </row>
    <row r="819" spans="1:11" hidden="1" x14ac:dyDescent="0.25">
      <c r="F819" t="s">
        <v>391</v>
      </c>
      <c r="G819" s="2">
        <v>1</v>
      </c>
      <c r="I819" t="s">
        <v>34</v>
      </c>
      <c r="J819" s="9"/>
      <c r="K819" t="str">
        <f t="shared" si="12"/>
        <v>REGULAR</v>
      </c>
    </row>
    <row r="820" spans="1:11" hidden="1" x14ac:dyDescent="0.25">
      <c r="F820" t="s">
        <v>405</v>
      </c>
      <c r="G820" s="2">
        <v>1</v>
      </c>
      <c r="I820" t="s">
        <v>34</v>
      </c>
      <c r="J820" s="9"/>
      <c r="K820" t="str">
        <f t="shared" si="12"/>
        <v>REGULAR</v>
      </c>
    </row>
    <row r="821" spans="1:11" hidden="1" x14ac:dyDescent="0.25">
      <c r="A821" t="s">
        <v>1296</v>
      </c>
      <c r="B821" s="8">
        <v>45791</v>
      </c>
      <c r="C821" t="s">
        <v>632</v>
      </c>
      <c r="D821" t="s">
        <v>10</v>
      </c>
      <c r="E821" t="s">
        <v>623</v>
      </c>
      <c r="F821" t="s">
        <v>721</v>
      </c>
      <c r="G821" s="2">
        <v>1</v>
      </c>
      <c r="H821" s="2">
        <v>375</v>
      </c>
      <c r="I821" t="s">
        <v>11</v>
      </c>
      <c r="J821" s="9"/>
      <c r="K821" t="str">
        <f t="shared" si="12"/>
        <v>REGULAR</v>
      </c>
    </row>
    <row r="822" spans="1:11" hidden="1" x14ac:dyDescent="0.25">
      <c r="F822" t="s">
        <v>667</v>
      </c>
      <c r="G822" s="2">
        <v>1</v>
      </c>
      <c r="I822" t="s">
        <v>11</v>
      </c>
      <c r="J822" s="9"/>
      <c r="K822" t="str">
        <f t="shared" si="12"/>
        <v>REGULAR</v>
      </c>
    </row>
    <row r="823" spans="1:11" hidden="1" x14ac:dyDescent="0.25">
      <c r="F823" t="s">
        <v>789</v>
      </c>
      <c r="G823" s="2">
        <v>1</v>
      </c>
      <c r="I823" t="s">
        <v>11</v>
      </c>
      <c r="J823" s="9"/>
      <c r="K823" t="str">
        <f t="shared" si="12"/>
        <v>REGULAR</v>
      </c>
    </row>
    <row r="824" spans="1:11" hidden="1" x14ac:dyDescent="0.25">
      <c r="F824" t="s">
        <v>77</v>
      </c>
      <c r="G824" s="2">
        <v>1</v>
      </c>
      <c r="I824" t="s">
        <v>11</v>
      </c>
      <c r="J824" s="9"/>
      <c r="K824" t="str">
        <f t="shared" si="12"/>
        <v>REGULAR</v>
      </c>
    </row>
    <row r="825" spans="1:11" hidden="1" x14ac:dyDescent="0.25">
      <c r="F825" t="s">
        <v>488</v>
      </c>
      <c r="G825" s="2">
        <v>1</v>
      </c>
      <c r="I825" t="s">
        <v>11</v>
      </c>
      <c r="J825" s="9"/>
      <c r="K825" t="str">
        <f t="shared" si="12"/>
        <v>REGULAR</v>
      </c>
    </row>
    <row r="826" spans="1:11" hidden="1" x14ac:dyDescent="0.25">
      <c r="A826" t="s">
        <v>1297</v>
      </c>
      <c r="B826" s="8">
        <v>45791</v>
      </c>
      <c r="C826" t="s">
        <v>632</v>
      </c>
      <c r="D826" t="s">
        <v>10</v>
      </c>
      <c r="E826" t="s">
        <v>623</v>
      </c>
      <c r="F826" t="s">
        <v>497</v>
      </c>
      <c r="G826" s="2">
        <v>1</v>
      </c>
      <c r="H826" s="2">
        <v>475</v>
      </c>
      <c r="I826" t="s">
        <v>34</v>
      </c>
      <c r="J826" s="9"/>
      <c r="K826" t="str">
        <f t="shared" si="12"/>
        <v>REGULAR</v>
      </c>
    </row>
    <row r="827" spans="1:11" hidden="1" x14ac:dyDescent="0.25">
      <c r="F827" t="s">
        <v>71</v>
      </c>
      <c r="G827" s="2">
        <v>1</v>
      </c>
      <c r="I827" t="s">
        <v>11</v>
      </c>
      <c r="J827" s="9"/>
      <c r="K827" t="str">
        <f t="shared" si="12"/>
        <v>REGULAR</v>
      </c>
    </row>
    <row r="828" spans="1:11" hidden="1" x14ac:dyDescent="0.25">
      <c r="F828" t="s">
        <v>437</v>
      </c>
      <c r="G828" s="2">
        <v>1</v>
      </c>
      <c r="I828" t="s">
        <v>34</v>
      </c>
      <c r="J828" s="9"/>
      <c r="K828" t="str">
        <f t="shared" si="12"/>
        <v>REGULAR</v>
      </c>
    </row>
    <row r="829" spans="1:11" hidden="1" x14ac:dyDescent="0.25">
      <c r="A829" t="s">
        <v>1298</v>
      </c>
      <c r="B829" s="8">
        <v>45791</v>
      </c>
      <c r="C829" t="s">
        <v>632</v>
      </c>
      <c r="D829" t="s">
        <v>10</v>
      </c>
      <c r="E829" t="s">
        <v>623</v>
      </c>
      <c r="F829" t="s">
        <v>789</v>
      </c>
      <c r="G829" s="2">
        <v>1</v>
      </c>
      <c r="H829" s="2">
        <v>230</v>
      </c>
      <c r="I829" t="s">
        <v>11</v>
      </c>
      <c r="J829" s="9"/>
      <c r="K829" t="str">
        <f t="shared" si="12"/>
        <v>REGULAR</v>
      </c>
    </row>
    <row r="830" spans="1:11" hidden="1" x14ac:dyDescent="0.25">
      <c r="F830" t="s">
        <v>396</v>
      </c>
      <c r="G830" s="2">
        <v>1</v>
      </c>
      <c r="I830" t="s">
        <v>11</v>
      </c>
      <c r="J830" s="9"/>
      <c r="K830" t="str">
        <f t="shared" si="12"/>
        <v>REGULAR</v>
      </c>
    </row>
    <row r="831" spans="1:11" hidden="1" x14ac:dyDescent="0.25">
      <c r="F831" t="s">
        <v>406</v>
      </c>
      <c r="G831" s="2">
        <v>1</v>
      </c>
      <c r="I831" t="s">
        <v>34</v>
      </c>
      <c r="J831" s="9"/>
      <c r="K831" t="str">
        <f t="shared" si="12"/>
        <v>REGULAR</v>
      </c>
    </row>
    <row r="832" spans="1:11" hidden="1" x14ac:dyDescent="0.25">
      <c r="A832" t="s">
        <v>1299</v>
      </c>
      <c r="B832" s="8">
        <v>45791</v>
      </c>
      <c r="C832" t="s">
        <v>632</v>
      </c>
      <c r="D832" t="s">
        <v>10</v>
      </c>
      <c r="E832" t="s">
        <v>623</v>
      </c>
      <c r="F832" t="s">
        <v>469</v>
      </c>
      <c r="G832" s="2">
        <v>1</v>
      </c>
      <c r="H832" s="2">
        <v>170</v>
      </c>
      <c r="I832" t="s">
        <v>34</v>
      </c>
      <c r="J832" s="9"/>
      <c r="K832" t="str">
        <f t="shared" si="12"/>
        <v>REGULAR</v>
      </c>
    </row>
    <row r="833" spans="1:20" hidden="1" x14ac:dyDescent="0.25">
      <c r="A833" t="s">
        <v>1300</v>
      </c>
      <c r="B833" s="8">
        <v>45791</v>
      </c>
      <c r="C833" t="s">
        <v>632</v>
      </c>
      <c r="D833" t="s">
        <v>10</v>
      </c>
      <c r="E833" t="s">
        <v>623</v>
      </c>
      <c r="F833" t="s">
        <v>752</v>
      </c>
      <c r="G833" s="2">
        <v>1</v>
      </c>
      <c r="H833" s="2">
        <v>330</v>
      </c>
      <c r="I833" t="s">
        <v>34</v>
      </c>
      <c r="J833" s="9"/>
      <c r="K833" t="str">
        <f t="shared" si="12"/>
        <v>REGULAR</v>
      </c>
    </row>
    <row r="834" spans="1:20" hidden="1" x14ac:dyDescent="0.25">
      <c r="F834" t="s">
        <v>391</v>
      </c>
      <c r="G834" s="2">
        <v>1</v>
      </c>
      <c r="I834" t="s">
        <v>34</v>
      </c>
      <c r="J834" s="9"/>
      <c r="K834" t="str">
        <f t="shared" ref="K834:K881" si="13">IF(E834&lt;&gt;"", E834, K833)</f>
        <v>REGULAR</v>
      </c>
    </row>
    <row r="835" spans="1:20" hidden="1" x14ac:dyDescent="0.25">
      <c r="A835" t="s">
        <v>1301</v>
      </c>
      <c r="B835" s="8">
        <v>45791</v>
      </c>
      <c r="C835" t="s">
        <v>632</v>
      </c>
      <c r="D835" t="s">
        <v>10</v>
      </c>
      <c r="E835" t="s">
        <v>623</v>
      </c>
      <c r="F835" t="s">
        <v>673</v>
      </c>
      <c r="G835" s="2">
        <v>1</v>
      </c>
      <c r="H835" s="2">
        <v>80</v>
      </c>
      <c r="I835" t="s">
        <v>11</v>
      </c>
      <c r="J835" s="9"/>
      <c r="K835" t="str">
        <f t="shared" si="13"/>
        <v>REGULAR</v>
      </c>
    </row>
    <row r="836" spans="1:20" hidden="1" x14ac:dyDescent="0.25">
      <c r="A836" t="s">
        <v>1302</v>
      </c>
      <c r="B836" s="8">
        <v>45791</v>
      </c>
      <c r="C836" t="s">
        <v>632</v>
      </c>
      <c r="D836" t="s">
        <v>10</v>
      </c>
      <c r="E836" t="s">
        <v>623</v>
      </c>
      <c r="F836" t="s">
        <v>391</v>
      </c>
      <c r="G836" s="2">
        <v>2</v>
      </c>
      <c r="H836" s="2">
        <v>480</v>
      </c>
      <c r="I836" t="s">
        <v>34</v>
      </c>
      <c r="J836" s="9"/>
      <c r="K836" t="str">
        <f t="shared" si="13"/>
        <v>REGULAR</v>
      </c>
    </row>
    <row r="837" spans="1:20" hidden="1" x14ac:dyDescent="0.25">
      <c r="F837" t="s">
        <v>733</v>
      </c>
      <c r="G837" s="2">
        <v>1</v>
      </c>
      <c r="I837" t="s">
        <v>34</v>
      </c>
      <c r="J837" s="9"/>
      <c r="K837" t="str">
        <f t="shared" si="13"/>
        <v>REGULAR</v>
      </c>
    </row>
    <row r="838" spans="1:20" x14ac:dyDescent="0.25">
      <c r="A838" t="s">
        <v>1303</v>
      </c>
      <c r="B838" s="8">
        <v>45792</v>
      </c>
      <c r="C838" t="s">
        <v>648</v>
      </c>
      <c r="D838" t="s">
        <v>10</v>
      </c>
      <c r="E838" t="s">
        <v>607</v>
      </c>
      <c r="F838" t="s">
        <v>1152</v>
      </c>
      <c r="G838" s="2">
        <v>1</v>
      </c>
      <c r="H838" s="2">
        <v>129</v>
      </c>
      <c r="I838" t="s">
        <v>11</v>
      </c>
      <c r="J838" s="9"/>
      <c r="K838" t="str">
        <f t="shared" si="13"/>
        <v>SUBSCRIPTION</v>
      </c>
    </row>
    <row r="839" spans="1:20" x14ac:dyDescent="0.25">
      <c r="A839" t="s">
        <v>1304</v>
      </c>
      <c r="B839" s="8">
        <v>45792</v>
      </c>
      <c r="C839" t="s">
        <v>648</v>
      </c>
      <c r="D839" t="s">
        <v>10</v>
      </c>
      <c r="E839" t="s">
        <v>607</v>
      </c>
      <c r="F839" t="s">
        <v>1152</v>
      </c>
      <c r="G839" s="2">
        <v>1</v>
      </c>
      <c r="H839" s="2">
        <v>129</v>
      </c>
      <c r="I839" t="s">
        <v>11</v>
      </c>
      <c r="J839" s="9"/>
      <c r="K839" t="str">
        <f t="shared" si="13"/>
        <v>SUBSCRIPTION</v>
      </c>
    </row>
    <row r="840" spans="1:20" x14ac:dyDescent="0.25">
      <c r="A840" t="s">
        <v>1305</v>
      </c>
      <c r="B840" s="8">
        <v>45792</v>
      </c>
      <c r="C840" t="s">
        <v>648</v>
      </c>
      <c r="D840" t="s">
        <v>10</v>
      </c>
      <c r="E840" t="s">
        <v>607</v>
      </c>
      <c r="F840" t="s">
        <v>980</v>
      </c>
      <c r="G840" s="2">
        <v>1</v>
      </c>
      <c r="H840" s="2">
        <v>99</v>
      </c>
      <c r="I840" t="s">
        <v>11</v>
      </c>
      <c r="J840" s="9"/>
      <c r="K840" t="str">
        <f t="shared" si="13"/>
        <v>SUBSCRIPTION</v>
      </c>
    </row>
    <row r="841" spans="1:20" x14ac:dyDescent="0.25">
      <c r="A841" t="s">
        <v>1306</v>
      </c>
      <c r="B841" s="8">
        <v>45792</v>
      </c>
      <c r="C841" t="s">
        <v>648</v>
      </c>
      <c r="D841" t="s">
        <v>21</v>
      </c>
      <c r="E841" t="s">
        <v>607</v>
      </c>
      <c r="F841" t="s">
        <v>1307</v>
      </c>
      <c r="G841" s="2">
        <v>1</v>
      </c>
      <c r="H841" s="2">
        <v>99</v>
      </c>
      <c r="I841" t="s">
        <v>11</v>
      </c>
      <c r="J841" s="9"/>
      <c r="K841" t="str">
        <f t="shared" si="13"/>
        <v>SUBSCRIPTION</v>
      </c>
    </row>
    <row r="842" spans="1:20" x14ac:dyDescent="0.25">
      <c r="A842" t="s">
        <v>1310</v>
      </c>
      <c r="B842" s="8">
        <v>45792</v>
      </c>
      <c r="C842" t="s">
        <v>648</v>
      </c>
      <c r="D842" t="s">
        <v>21</v>
      </c>
      <c r="E842" t="s">
        <v>607</v>
      </c>
      <c r="F842" t="s">
        <v>656</v>
      </c>
      <c r="G842" s="2">
        <v>1</v>
      </c>
      <c r="H842" s="2">
        <v>79</v>
      </c>
      <c r="I842" t="s">
        <v>11</v>
      </c>
      <c r="J842" s="9"/>
      <c r="K842" t="str">
        <f t="shared" si="13"/>
        <v>SUBSCRIPTION</v>
      </c>
    </row>
    <row r="843" spans="1:20" x14ac:dyDescent="0.25">
      <c r="A843" t="s">
        <v>1308</v>
      </c>
      <c r="B843" s="8">
        <v>45792</v>
      </c>
      <c r="C843" t="s">
        <v>648</v>
      </c>
      <c r="D843" t="s">
        <v>10</v>
      </c>
      <c r="E843" t="s">
        <v>607</v>
      </c>
      <c r="F843" t="s">
        <v>980</v>
      </c>
      <c r="G843" s="2">
        <v>1</v>
      </c>
      <c r="H843" s="2">
        <v>99</v>
      </c>
      <c r="I843" t="s">
        <v>11</v>
      </c>
      <c r="J843" s="9"/>
      <c r="K843" t="str">
        <f t="shared" si="13"/>
        <v>SUBSCRIPTION</v>
      </c>
    </row>
    <row r="844" spans="1:20" x14ac:dyDescent="0.25">
      <c r="A844" t="s">
        <v>1311</v>
      </c>
      <c r="B844" s="8">
        <v>45792</v>
      </c>
      <c r="C844" t="s">
        <v>648</v>
      </c>
      <c r="D844" t="s">
        <v>10</v>
      </c>
      <c r="E844" t="s">
        <v>607</v>
      </c>
      <c r="F844" t="s">
        <v>1152</v>
      </c>
      <c r="G844" s="2">
        <v>1</v>
      </c>
      <c r="H844" s="2">
        <v>129</v>
      </c>
      <c r="I844" t="s">
        <v>11</v>
      </c>
      <c r="J844" s="9"/>
      <c r="K844" t="str">
        <f t="shared" si="13"/>
        <v>SUBSCRIPTION</v>
      </c>
    </row>
    <row r="845" spans="1:20" x14ac:dyDescent="0.25">
      <c r="A845" t="s">
        <v>1312</v>
      </c>
      <c r="B845" s="8">
        <v>45792</v>
      </c>
      <c r="C845" t="s">
        <v>648</v>
      </c>
      <c r="D845" t="s">
        <v>21</v>
      </c>
      <c r="E845" t="s">
        <v>607</v>
      </c>
      <c r="F845" t="s">
        <v>656</v>
      </c>
      <c r="G845" s="2">
        <v>1</v>
      </c>
      <c r="H845" s="2">
        <v>79</v>
      </c>
      <c r="I845" t="s">
        <v>11</v>
      </c>
      <c r="J845" s="9"/>
      <c r="K845" t="str">
        <f t="shared" si="13"/>
        <v>SUBSCRIPTION</v>
      </c>
    </row>
    <row r="846" spans="1:20" x14ac:dyDescent="0.25">
      <c r="A846" t="s">
        <v>1309</v>
      </c>
      <c r="B846" s="8">
        <v>45792</v>
      </c>
      <c r="C846" t="s">
        <v>648</v>
      </c>
      <c r="D846" t="s">
        <v>10</v>
      </c>
      <c r="E846" t="s">
        <v>607</v>
      </c>
      <c r="F846" t="s">
        <v>978</v>
      </c>
      <c r="G846" s="2">
        <v>1</v>
      </c>
      <c r="H846" s="2">
        <v>129</v>
      </c>
      <c r="I846" t="s">
        <v>11</v>
      </c>
      <c r="J846" s="9"/>
      <c r="K846" t="str">
        <f t="shared" si="13"/>
        <v>SUBSCRIPTION</v>
      </c>
    </row>
    <row r="847" spans="1:20" hidden="1" x14ac:dyDescent="0.25">
      <c r="A847" t="s">
        <v>1315</v>
      </c>
      <c r="B847" s="8">
        <v>45792</v>
      </c>
      <c r="C847" t="s">
        <v>648</v>
      </c>
      <c r="D847" t="s">
        <v>10</v>
      </c>
      <c r="E847" t="s">
        <v>623</v>
      </c>
      <c r="F847" t="s">
        <v>391</v>
      </c>
      <c r="G847" s="2">
        <v>1</v>
      </c>
      <c r="H847" s="2">
        <v>150</v>
      </c>
      <c r="I847" t="s">
        <v>34</v>
      </c>
      <c r="J847" s="9"/>
      <c r="K847" t="str">
        <f t="shared" si="13"/>
        <v>REGULAR</v>
      </c>
      <c r="L847" s="13"/>
      <c r="M847" s="14"/>
      <c r="N847" s="15"/>
      <c r="O847" s="15"/>
      <c r="P847" s="15"/>
      <c r="Q847" s="15"/>
      <c r="R847" s="16"/>
      <c r="S847" s="16"/>
      <c r="T847" s="15"/>
    </row>
    <row r="848" spans="1:20" hidden="1" x14ac:dyDescent="0.25">
      <c r="A848" t="s">
        <v>1316</v>
      </c>
      <c r="B848" s="8">
        <v>45792</v>
      </c>
      <c r="C848" t="s">
        <v>648</v>
      </c>
      <c r="D848" t="s">
        <v>10</v>
      </c>
      <c r="E848" t="s">
        <v>623</v>
      </c>
      <c r="F848" t="s">
        <v>426</v>
      </c>
      <c r="G848" s="2">
        <v>1</v>
      </c>
      <c r="H848" s="2">
        <v>130</v>
      </c>
      <c r="I848" t="s">
        <v>34</v>
      </c>
      <c r="J848" s="9"/>
      <c r="K848" t="str">
        <f t="shared" si="13"/>
        <v>REGULAR</v>
      </c>
    </row>
    <row r="849" spans="1:11" hidden="1" x14ac:dyDescent="0.25">
      <c r="A849" t="s">
        <v>1317</v>
      </c>
      <c r="B849" s="8">
        <v>45792</v>
      </c>
      <c r="C849" t="s">
        <v>648</v>
      </c>
      <c r="D849" t="s">
        <v>10</v>
      </c>
      <c r="E849" t="s">
        <v>623</v>
      </c>
      <c r="F849" t="s">
        <v>667</v>
      </c>
      <c r="G849" s="2">
        <v>1</v>
      </c>
      <c r="H849" s="2">
        <v>175</v>
      </c>
      <c r="I849" t="s">
        <v>11</v>
      </c>
      <c r="J849" s="9"/>
      <c r="K849" t="str">
        <f t="shared" si="13"/>
        <v>REGULAR</v>
      </c>
    </row>
    <row r="850" spans="1:11" hidden="1" x14ac:dyDescent="0.25">
      <c r="F850" t="s">
        <v>475</v>
      </c>
      <c r="G850" s="2">
        <v>1</v>
      </c>
      <c r="I850" t="s">
        <v>11</v>
      </c>
      <c r="J850" s="9"/>
      <c r="K850" t="str">
        <f t="shared" si="13"/>
        <v>REGULAR</v>
      </c>
    </row>
    <row r="851" spans="1:11" hidden="1" x14ac:dyDescent="0.25">
      <c r="A851" t="s">
        <v>1318</v>
      </c>
      <c r="B851" s="8">
        <v>45792</v>
      </c>
      <c r="C851" t="s">
        <v>648</v>
      </c>
      <c r="D851" t="s">
        <v>10</v>
      </c>
      <c r="E851" t="s">
        <v>623</v>
      </c>
      <c r="F851" t="s">
        <v>404</v>
      </c>
      <c r="G851" s="2">
        <v>1</v>
      </c>
      <c r="H851" s="2">
        <v>305</v>
      </c>
      <c r="I851" t="s">
        <v>34</v>
      </c>
      <c r="J851" s="9"/>
      <c r="K851" t="str">
        <f t="shared" si="13"/>
        <v>REGULAR</v>
      </c>
    </row>
    <row r="852" spans="1:11" hidden="1" x14ac:dyDescent="0.25">
      <c r="F852" t="s">
        <v>471</v>
      </c>
      <c r="G852" s="2">
        <v>1</v>
      </c>
      <c r="I852" t="s">
        <v>34</v>
      </c>
      <c r="J852" s="9"/>
      <c r="K852" t="str">
        <f t="shared" si="13"/>
        <v>REGULAR</v>
      </c>
    </row>
    <row r="853" spans="1:11" hidden="1" x14ac:dyDescent="0.25">
      <c r="F853" t="s">
        <v>999</v>
      </c>
      <c r="G853" s="2">
        <v>1</v>
      </c>
      <c r="I853" t="s">
        <v>11</v>
      </c>
      <c r="J853" s="9"/>
      <c r="K853" t="str">
        <f t="shared" si="13"/>
        <v>REGULAR</v>
      </c>
    </row>
    <row r="854" spans="1:11" hidden="1" x14ac:dyDescent="0.25">
      <c r="A854" t="s">
        <v>1319</v>
      </c>
      <c r="B854" s="8">
        <v>45792</v>
      </c>
      <c r="C854" t="s">
        <v>648</v>
      </c>
      <c r="D854" t="s">
        <v>10</v>
      </c>
      <c r="E854" t="s">
        <v>623</v>
      </c>
      <c r="F854" t="s">
        <v>490</v>
      </c>
      <c r="G854" s="2">
        <v>1</v>
      </c>
      <c r="H854" s="2">
        <v>530</v>
      </c>
      <c r="I854" t="s">
        <v>11</v>
      </c>
      <c r="J854" s="9"/>
      <c r="K854" t="str">
        <f t="shared" si="13"/>
        <v>REGULAR</v>
      </c>
    </row>
    <row r="855" spans="1:11" hidden="1" x14ac:dyDescent="0.25">
      <c r="F855" t="s">
        <v>426</v>
      </c>
      <c r="G855" s="2">
        <v>1</v>
      </c>
      <c r="I855" t="s">
        <v>34</v>
      </c>
      <c r="J855" s="9"/>
      <c r="K855" t="str">
        <f t="shared" si="13"/>
        <v>REGULAR</v>
      </c>
    </row>
    <row r="856" spans="1:11" hidden="1" x14ac:dyDescent="0.25">
      <c r="F856" t="s">
        <v>451</v>
      </c>
      <c r="G856" s="2">
        <v>1</v>
      </c>
      <c r="I856" t="s">
        <v>11</v>
      </c>
      <c r="J856" s="9"/>
      <c r="K856" t="str">
        <f t="shared" si="13"/>
        <v>REGULAR</v>
      </c>
    </row>
    <row r="857" spans="1:11" hidden="1" x14ac:dyDescent="0.25">
      <c r="F857" t="s">
        <v>1174</v>
      </c>
      <c r="G857" s="2">
        <v>1</v>
      </c>
      <c r="I857" t="s">
        <v>34</v>
      </c>
      <c r="J857" s="9"/>
      <c r="K857" t="str">
        <f t="shared" si="13"/>
        <v>REGULAR</v>
      </c>
    </row>
    <row r="858" spans="1:11" hidden="1" x14ac:dyDescent="0.25">
      <c r="A858" t="s">
        <v>1320</v>
      </c>
      <c r="B858" s="8">
        <v>45792</v>
      </c>
      <c r="C858" t="s">
        <v>648</v>
      </c>
      <c r="D858" t="s">
        <v>10</v>
      </c>
      <c r="E858" t="s">
        <v>623</v>
      </c>
      <c r="F858" t="s">
        <v>401</v>
      </c>
      <c r="G858" s="2">
        <v>1</v>
      </c>
      <c r="H858" s="2">
        <v>210</v>
      </c>
      <c r="I858" t="s">
        <v>11</v>
      </c>
      <c r="J858" s="9"/>
      <c r="K858" t="str">
        <f t="shared" si="13"/>
        <v>REGULAR</v>
      </c>
    </row>
    <row r="859" spans="1:11" hidden="1" x14ac:dyDescent="0.25">
      <c r="F859" t="s">
        <v>667</v>
      </c>
      <c r="G859" s="2">
        <v>1</v>
      </c>
      <c r="I859" t="s">
        <v>11</v>
      </c>
      <c r="J859" s="9"/>
      <c r="K859" t="str">
        <f t="shared" si="13"/>
        <v>REGULAR</v>
      </c>
    </row>
    <row r="860" spans="1:11" hidden="1" x14ac:dyDescent="0.25">
      <c r="F860" t="s">
        <v>699</v>
      </c>
      <c r="G860" s="2">
        <v>1</v>
      </c>
      <c r="I860" t="s">
        <v>11</v>
      </c>
      <c r="J860" s="9"/>
      <c r="K860" t="str">
        <f t="shared" si="13"/>
        <v>REGULAR</v>
      </c>
    </row>
    <row r="861" spans="1:11" hidden="1" x14ac:dyDescent="0.25">
      <c r="A861" t="s">
        <v>1321</v>
      </c>
      <c r="B861" s="8">
        <v>45792</v>
      </c>
      <c r="C861" t="s">
        <v>648</v>
      </c>
      <c r="D861" t="s">
        <v>10</v>
      </c>
      <c r="E861" t="s">
        <v>623</v>
      </c>
      <c r="F861" t="s">
        <v>428</v>
      </c>
      <c r="G861" s="2">
        <v>1</v>
      </c>
      <c r="H861" s="2">
        <v>120</v>
      </c>
      <c r="I861" t="s">
        <v>11</v>
      </c>
      <c r="J861" s="9"/>
      <c r="K861" t="str">
        <f t="shared" si="13"/>
        <v>REGULAR</v>
      </c>
    </row>
    <row r="862" spans="1:11" x14ac:dyDescent="0.25">
      <c r="A862" t="s">
        <v>1322</v>
      </c>
      <c r="B862" s="8">
        <v>45793</v>
      </c>
      <c r="C862" t="s">
        <v>678</v>
      </c>
      <c r="D862" t="s">
        <v>10</v>
      </c>
      <c r="E862" t="s">
        <v>607</v>
      </c>
      <c r="F862" t="s">
        <v>1166</v>
      </c>
      <c r="G862" s="2">
        <v>1</v>
      </c>
      <c r="H862" s="2">
        <v>99</v>
      </c>
      <c r="I862" t="s">
        <v>11</v>
      </c>
      <c r="J862" s="9"/>
      <c r="K862" t="str">
        <f t="shared" si="13"/>
        <v>SUBSCRIPTION</v>
      </c>
    </row>
    <row r="863" spans="1:11" x14ac:dyDescent="0.25">
      <c r="A863" t="s">
        <v>1324</v>
      </c>
      <c r="B863" s="8">
        <v>45793</v>
      </c>
      <c r="C863" t="s">
        <v>678</v>
      </c>
      <c r="D863" t="s">
        <v>21</v>
      </c>
      <c r="E863" t="s">
        <v>607</v>
      </c>
      <c r="F863" t="s">
        <v>1323</v>
      </c>
      <c r="G863" s="2">
        <v>1</v>
      </c>
      <c r="H863" s="2">
        <v>99</v>
      </c>
      <c r="I863" t="s">
        <v>11</v>
      </c>
      <c r="J863" s="9"/>
      <c r="K863" t="str">
        <f t="shared" si="13"/>
        <v>SUBSCRIPTION</v>
      </c>
    </row>
    <row r="864" spans="1:11" x14ac:dyDescent="0.25">
      <c r="A864" t="s">
        <v>1325</v>
      </c>
      <c r="B864" s="8">
        <v>45793</v>
      </c>
      <c r="C864" t="s">
        <v>678</v>
      </c>
      <c r="D864" t="s">
        <v>18</v>
      </c>
      <c r="E864" t="s">
        <v>607</v>
      </c>
      <c r="F864" t="s">
        <v>993</v>
      </c>
      <c r="G864" s="2">
        <v>1</v>
      </c>
      <c r="H864" s="2">
        <v>99</v>
      </c>
      <c r="I864" t="s">
        <v>11</v>
      </c>
      <c r="J864" s="9"/>
      <c r="K864" t="str">
        <f t="shared" si="13"/>
        <v>SUBSCRIPTION</v>
      </c>
    </row>
    <row r="865" spans="1:11" x14ac:dyDescent="0.25">
      <c r="A865" t="s">
        <v>1326</v>
      </c>
      <c r="B865" s="8">
        <v>45793</v>
      </c>
      <c r="C865" t="s">
        <v>678</v>
      </c>
      <c r="D865" t="s">
        <v>21</v>
      </c>
      <c r="E865" t="s">
        <v>607</v>
      </c>
      <c r="F865" t="s">
        <v>1323</v>
      </c>
      <c r="G865" s="2">
        <v>1</v>
      </c>
      <c r="H865" s="2">
        <v>99</v>
      </c>
      <c r="I865" t="s">
        <v>11</v>
      </c>
      <c r="J865" s="9"/>
      <c r="K865" t="str">
        <f t="shared" si="13"/>
        <v>SUBSCRIPTION</v>
      </c>
    </row>
    <row r="866" spans="1:11" x14ac:dyDescent="0.25">
      <c r="A866" t="s">
        <v>1327</v>
      </c>
      <c r="B866" s="8">
        <v>45793</v>
      </c>
      <c r="C866" t="s">
        <v>678</v>
      </c>
      <c r="D866" t="s">
        <v>10</v>
      </c>
      <c r="E866" t="s">
        <v>607</v>
      </c>
      <c r="F866" t="s">
        <v>879</v>
      </c>
      <c r="G866" s="2">
        <v>1</v>
      </c>
      <c r="H866" s="2">
        <v>99</v>
      </c>
      <c r="I866" t="s">
        <v>11</v>
      </c>
      <c r="J866" s="9"/>
      <c r="K866" t="str">
        <f t="shared" si="13"/>
        <v>SUBSCRIPTION</v>
      </c>
    </row>
    <row r="867" spans="1:11" x14ac:dyDescent="0.25">
      <c r="A867" t="s">
        <v>1328</v>
      </c>
      <c r="B867" s="8">
        <v>45793</v>
      </c>
      <c r="C867" t="s">
        <v>678</v>
      </c>
      <c r="D867" t="s">
        <v>10</v>
      </c>
      <c r="E867" t="s">
        <v>607</v>
      </c>
      <c r="F867" t="s">
        <v>995</v>
      </c>
      <c r="G867" s="2">
        <v>1</v>
      </c>
      <c r="H867" s="2">
        <v>129</v>
      </c>
      <c r="I867" t="s">
        <v>11</v>
      </c>
      <c r="J867" s="9"/>
      <c r="K867" t="str">
        <f t="shared" si="13"/>
        <v>SUBSCRIPTION</v>
      </c>
    </row>
    <row r="868" spans="1:11" x14ac:dyDescent="0.25">
      <c r="A868" t="s">
        <v>1329</v>
      </c>
      <c r="B868" s="8">
        <v>45793</v>
      </c>
      <c r="C868" t="s">
        <v>678</v>
      </c>
      <c r="D868" t="s">
        <v>10</v>
      </c>
      <c r="E868" t="s">
        <v>607</v>
      </c>
      <c r="F868" t="s">
        <v>1166</v>
      </c>
      <c r="G868" s="2">
        <v>1</v>
      </c>
      <c r="H868" s="2">
        <v>99</v>
      </c>
      <c r="I868" t="s">
        <v>11</v>
      </c>
      <c r="J868" s="9"/>
      <c r="K868" t="str">
        <f t="shared" si="13"/>
        <v>SUBSCRIPTION</v>
      </c>
    </row>
    <row r="869" spans="1:11" x14ac:dyDescent="0.25">
      <c r="A869" t="s">
        <v>1331</v>
      </c>
      <c r="B869" s="8">
        <v>45793</v>
      </c>
      <c r="C869" t="s">
        <v>678</v>
      </c>
      <c r="D869" t="s">
        <v>18</v>
      </c>
      <c r="E869" t="s">
        <v>607</v>
      </c>
      <c r="F869" t="s">
        <v>1330</v>
      </c>
      <c r="G869" s="2">
        <v>1</v>
      </c>
      <c r="H869" s="2">
        <v>79</v>
      </c>
      <c r="I869" t="s">
        <v>11</v>
      </c>
      <c r="J869" s="9"/>
      <c r="K869" t="str">
        <f t="shared" si="13"/>
        <v>SUBSCRIPTION</v>
      </c>
    </row>
    <row r="870" spans="1:11" x14ac:dyDescent="0.25">
      <c r="A870" t="s">
        <v>1332</v>
      </c>
      <c r="B870" s="8">
        <v>45793</v>
      </c>
      <c r="C870" t="s">
        <v>678</v>
      </c>
      <c r="D870" t="s">
        <v>10</v>
      </c>
      <c r="E870" t="s">
        <v>607</v>
      </c>
      <c r="F870" t="s">
        <v>879</v>
      </c>
      <c r="G870" s="2">
        <v>1</v>
      </c>
      <c r="H870" s="2">
        <v>99</v>
      </c>
      <c r="I870" t="s">
        <v>11</v>
      </c>
      <c r="J870" s="9"/>
      <c r="K870" t="str">
        <f t="shared" si="13"/>
        <v>SUBSCRIPTION</v>
      </c>
    </row>
    <row r="871" spans="1:11" x14ac:dyDescent="0.25">
      <c r="A871" t="s">
        <v>1333</v>
      </c>
      <c r="B871" s="8">
        <v>45793</v>
      </c>
      <c r="C871" t="s">
        <v>678</v>
      </c>
      <c r="D871" t="s">
        <v>21</v>
      </c>
      <c r="E871" t="s">
        <v>607</v>
      </c>
      <c r="F871" t="s">
        <v>1084</v>
      </c>
      <c r="G871" s="2">
        <v>1</v>
      </c>
      <c r="H871" s="2">
        <v>129</v>
      </c>
      <c r="I871" t="s">
        <v>34</v>
      </c>
      <c r="J871" s="9"/>
      <c r="K871" t="str">
        <f t="shared" si="13"/>
        <v>SUBSCRIPTION</v>
      </c>
    </row>
    <row r="872" spans="1:11" x14ac:dyDescent="0.25">
      <c r="A872" t="s">
        <v>1335</v>
      </c>
      <c r="B872" s="8">
        <v>45793</v>
      </c>
      <c r="C872" t="s">
        <v>678</v>
      </c>
      <c r="D872" t="s">
        <v>21</v>
      </c>
      <c r="E872" t="s">
        <v>607</v>
      </c>
      <c r="F872" t="s">
        <v>1323</v>
      </c>
      <c r="G872" s="2">
        <v>1</v>
      </c>
      <c r="H872" s="2">
        <v>99</v>
      </c>
      <c r="I872" t="s">
        <v>11</v>
      </c>
      <c r="J872" s="9"/>
      <c r="K872" t="str">
        <f t="shared" si="13"/>
        <v>SUBSCRIPTION</v>
      </c>
    </row>
    <row r="873" spans="1:11" hidden="1" x14ac:dyDescent="0.25">
      <c r="A873" t="s">
        <v>1313</v>
      </c>
      <c r="B873" s="8">
        <v>45793</v>
      </c>
      <c r="C873" t="s">
        <v>678</v>
      </c>
      <c r="D873" t="s">
        <v>10</v>
      </c>
      <c r="E873" t="s">
        <v>623</v>
      </c>
      <c r="F873" t="s">
        <v>475</v>
      </c>
      <c r="G873" s="2">
        <v>1</v>
      </c>
      <c r="H873" s="2">
        <v>255</v>
      </c>
      <c r="I873" t="s">
        <v>11</v>
      </c>
      <c r="J873" s="9"/>
      <c r="K873" t="str">
        <f t="shared" si="13"/>
        <v>REGULAR</v>
      </c>
    </row>
    <row r="874" spans="1:11" hidden="1" x14ac:dyDescent="0.25">
      <c r="F874" t="s">
        <v>430</v>
      </c>
      <c r="G874" s="2">
        <v>1</v>
      </c>
      <c r="I874" t="s">
        <v>11</v>
      </c>
      <c r="J874" s="9"/>
      <c r="K874" t="str">
        <f t="shared" si="13"/>
        <v>REGULAR</v>
      </c>
    </row>
    <row r="875" spans="1:11" hidden="1" x14ac:dyDescent="0.25">
      <c r="F875" t="s">
        <v>667</v>
      </c>
      <c r="G875" s="2">
        <v>1</v>
      </c>
      <c r="I875" t="s">
        <v>11</v>
      </c>
      <c r="J875" s="9"/>
      <c r="K875" t="str">
        <f t="shared" si="13"/>
        <v>REGULAR</v>
      </c>
    </row>
    <row r="876" spans="1:11" hidden="1" x14ac:dyDescent="0.25">
      <c r="A876" t="s">
        <v>1314</v>
      </c>
      <c r="B876" s="8">
        <v>45794</v>
      </c>
      <c r="C876" t="s">
        <v>703</v>
      </c>
      <c r="D876" t="s">
        <v>10</v>
      </c>
      <c r="E876" t="s">
        <v>623</v>
      </c>
      <c r="F876" t="s">
        <v>428</v>
      </c>
      <c r="G876" s="2">
        <v>1</v>
      </c>
      <c r="H876" s="2">
        <v>405</v>
      </c>
      <c r="I876" t="s">
        <v>11</v>
      </c>
      <c r="J876" s="9"/>
      <c r="K876" t="str">
        <f t="shared" si="13"/>
        <v>REGULAR</v>
      </c>
    </row>
    <row r="877" spans="1:11" hidden="1" x14ac:dyDescent="0.25">
      <c r="F877" t="s">
        <v>673</v>
      </c>
      <c r="G877" s="2">
        <v>1</v>
      </c>
      <c r="I877" t="s">
        <v>11</v>
      </c>
      <c r="J877" s="9"/>
      <c r="K877" t="str">
        <f t="shared" si="13"/>
        <v>REGULAR</v>
      </c>
    </row>
    <row r="878" spans="1:11" hidden="1" x14ac:dyDescent="0.25">
      <c r="F878" t="s">
        <v>492</v>
      </c>
      <c r="G878" s="2">
        <v>1</v>
      </c>
      <c r="I878" t="s">
        <v>11</v>
      </c>
      <c r="J878" s="9"/>
      <c r="K878" t="str">
        <f t="shared" si="13"/>
        <v>REGULAR</v>
      </c>
    </row>
    <row r="879" spans="1:11" hidden="1" x14ac:dyDescent="0.25">
      <c r="F879" t="s">
        <v>474</v>
      </c>
      <c r="G879" s="2">
        <v>1</v>
      </c>
      <c r="I879" t="s">
        <v>34</v>
      </c>
      <c r="J879" s="9"/>
      <c r="K879" t="str">
        <f t="shared" si="13"/>
        <v>REGULAR</v>
      </c>
    </row>
    <row r="880" spans="1:11" hidden="1" x14ac:dyDescent="0.25">
      <c r="A880" t="s">
        <v>1336</v>
      </c>
      <c r="B880" s="8">
        <v>45795</v>
      </c>
      <c r="C880" t="s">
        <v>724</v>
      </c>
      <c r="D880" t="s">
        <v>10</v>
      </c>
      <c r="E880" t="s">
        <v>623</v>
      </c>
      <c r="F880" t="s">
        <v>408</v>
      </c>
      <c r="G880" s="2">
        <v>2</v>
      </c>
      <c r="H880" s="2">
        <v>380</v>
      </c>
      <c r="I880" t="s">
        <v>34</v>
      </c>
      <c r="J880" s="9"/>
      <c r="K880" t="str">
        <f t="shared" si="13"/>
        <v>REGULAR</v>
      </c>
    </row>
    <row r="881" spans="1:11" x14ac:dyDescent="0.25">
      <c r="A881" t="s">
        <v>1334</v>
      </c>
      <c r="B881" s="8">
        <v>45803</v>
      </c>
      <c r="C881" t="s">
        <v>736</v>
      </c>
      <c r="D881" t="s">
        <v>10</v>
      </c>
      <c r="E881" t="s">
        <v>607</v>
      </c>
      <c r="F881" t="s">
        <v>926</v>
      </c>
      <c r="G881" s="2">
        <v>1</v>
      </c>
      <c r="H881" s="2">
        <v>129</v>
      </c>
      <c r="I881" t="s">
        <v>11</v>
      </c>
      <c r="J881" s="9"/>
      <c r="K881" t="str">
        <f t="shared" si="13"/>
        <v>SUBSCRIPTION</v>
      </c>
    </row>
  </sheetData>
  <mergeCells count="13">
    <mergeCell ref="N321:O321"/>
    <mergeCell ref="N91:O91"/>
    <mergeCell ref="N110:O110"/>
    <mergeCell ref="N135:O135"/>
    <mergeCell ref="N169:O169"/>
    <mergeCell ref="N183:O183"/>
    <mergeCell ref="T3:U3"/>
    <mergeCell ref="N265:O265"/>
    <mergeCell ref="N16:O16"/>
    <mergeCell ref="N70:O70"/>
    <mergeCell ref="V30:W30"/>
    <mergeCell ref="N251:O251"/>
    <mergeCell ref="N237:O237"/>
  </mergeCells>
  <phoneticPr fontId="1" type="noConversion"/>
  <pageMargins left="0.7" right="0.7" top="0.75" bottom="0.75" header="0.3" footer="0.3"/>
  <drawing r:id="rId13"/>
  <tableParts count="4">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8AACF-1F50-49E8-BB59-F24DC0E16B27}">
  <dimension ref="A1:E49"/>
  <sheetViews>
    <sheetView tabSelected="1" workbookViewId="0">
      <selection activeCell="J8" sqref="J8"/>
    </sheetView>
  </sheetViews>
  <sheetFormatPr defaultRowHeight="15" x14ac:dyDescent="0.25"/>
  <cols>
    <col min="1" max="1" width="12.85546875" customWidth="1"/>
    <col min="2" max="2" width="17.7109375" customWidth="1"/>
    <col min="3" max="3" width="22.28515625" customWidth="1"/>
    <col min="4" max="4" width="26.85546875" customWidth="1"/>
    <col min="5" max="5" width="10" customWidth="1"/>
    <col min="6" max="6" width="9.140625" customWidth="1"/>
  </cols>
  <sheetData>
    <row r="1" spans="1:5" ht="25.5" customHeight="1" x14ac:dyDescent="0.25">
      <c r="A1" s="24" t="s">
        <v>687</v>
      </c>
      <c r="B1" s="24" t="s">
        <v>1405</v>
      </c>
      <c r="C1" s="24" t="s">
        <v>1406</v>
      </c>
      <c r="D1" s="24" t="s">
        <v>1407</v>
      </c>
      <c r="E1" s="24" t="s">
        <v>1408</v>
      </c>
    </row>
    <row r="2" spans="1:5" x14ac:dyDescent="0.25">
      <c r="A2" s="11">
        <v>45748</v>
      </c>
      <c r="B2">
        <v>11</v>
      </c>
      <c r="D2">
        <f>B2</f>
        <v>11</v>
      </c>
      <c r="E2">
        <v>0</v>
      </c>
    </row>
    <row r="3" spans="1:5" x14ac:dyDescent="0.25">
      <c r="A3" s="11">
        <v>45749</v>
      </c>
      <c r="B3">
        <v>11</v>
      </c>
      <c r="D3">
        <f>0.3*B2+0.7*D2</f>
        <v>11</v>
      </c>
      <c r="E3">
        <f>ABS(B3-D2)/B3*100</f>
        <v>0</v>
      </c>
    </row>
    <row r="4" spans="1:5" x14ac:dyDescent="0.25">
      <c r="A4" s="11">
        <v>45750</v>
      </c>
      <c r="B4">
        <v>18</v>
      </c>
      <c r="D4">
        <f t="shared" ref="D4:D49" si="0">0.3*B3+0.7*D3</f>
        <v>11</v>
      </c>
      <c r="E4">
        <f t="shared" ref="E4:E49" si="1">ABS(B4-D3)/B4*100</f>
        <v>38.888888888888893</v>
      </c>
    </row>
    <row r="5" spans="1:5" x14ac:dyDescent="0.25">
      <c r="A5" s="11">
        <v>45751</v>
      </c>
      <c r="B5">
        <v>18</v>
      </c>
      <c r="D5">
        <f t="shared" si="0"/>
        <v>13.099999999999998</v>
      </c>
      <c r="E5">
        <f t="shared" si="1"/>
        <v>38.888888888888893</v>
      </c>
    </row>
    <row r="6" spans="1:5" x14ac:dyDescent="0.25">
      <c r="A6" s="11">
        <v>45752</v>
      </c>
      <c r="B6">
        <v>17</v>
      </c>
      <c r="D6">
        <f t="shared" si="0"/>
        <v>14.569999999999997</v>
      </c>
      <c r="E6">
        <f t="shared" si="1"/>
        <v>22.94117647058825</v>
      </c>
    </row>
    <row r="7" spans="1:5" x14ac:dyDescent="0.25">
      <c r="A7" s="11">
        <v>45753</v>
      </c>
      <c r="B7">
        <v>20</v>
      </c>
      <c r="D7">
        <f t="shared" si="0"/>
        <v>15.298999999999996</v>
      </c>
      <c r="E7">
        <f t="shared" si="1"/>
        <v>27.15000000000002</v>
      </c>
    </row>
    <row r="8" spans="1:5" x14ac:dyDescent="0.25">
      <c r="A8" s="11">
        <v>45754</v>
      </c>
      <c r="B8">
        <v>16</v>
      </c>
      <c r="D8">
        <f t="shared" si="0"/>
        <v>16.709299999999999</v>
      </c>
      <c r="E8">
        <f t="shared" si="1"/>
        <v>4.3812500000000254</v>
      </c>
    </row>
    <row r="9" spans="1:5" x14ac:dyDescent="0.25">
      <c r="A9" s="11">
        <v>45755</v>
      </c>
      <c r="B9">
        <v>21</v>
      </c>
      <c r="C9">
        <f>AVERAGE(B2:B8)</f>
        <v>15.857142857142858</v>
      </c>
      <c r="D9">
        <f t="shared" si="0"/>
        <v>16.496509999999997</v>
      </c>
      <c r="E9">
        <f t="shared" si="1"/>
        <v>20.431904761904768</v>
      </c>
    </row>
    <row r="10" spans="1:5" x14ac:dyDescent="0.25">
      <c r="A10" s="11">
        <v>45756</v>
      </c>
      <c r="B10">
        <v>19</v>
      </c>
      <c r="C10">
        <f t="shared" ref="C10:C49" si="2">AVERAGE(B3:B9)</f>
        <v>17.285714285714285</v>
      </c>
      <c r="D10">
        <f t="shared" si="0"/>
        <v>17.847556999999998</v>
      </c>
      <c r="E10">
        <f t="shared" si="1"/>
        <v>13.176263157894752</v>
      </c>
    </row>
    <row r="11" spans="1:5" x14ac:dyDescent="0.25">
      <c r="A11" s="11">
        <v>45757</v>
      </c>
      <c r="B11">
        <v>15</v>
      </c>
      <c r="C11">
        <f t="shared" si="2"/>
        <v>18.428571428571427</v>
      </c>
      <c r="D11">
        <f t="shared" si="0"/>
        <v>18.1932899</v>
      </c>
      <c r="E11">
        <f t="shared" si="1"/>
        <v>18.98371333333332</v>
      </c>
    </row>
    <row r="12" spans="1:5" x14ac:dyDescent="0.25">
      <c r="A12" s="11">
        <v>45758</v>
      </c>
      <c r="B12">
        <v>9</v>
      </c>
      <c r="C12">
        <f t="shared" si="2"/>
        <v>18</v>
      </c>
      <c r="D12">
        <f t="shared" si="0"/>
        <v>17.23530293</v>
      </c>
      <c r="E12">
        <f t="shared" si="1"/>
        <v>102.14766555555555</v>
      </c>
    </row>
    <row r="13" spans="1:5" x14ac:dyDescent="0.25">
      <c r="A13" s="11">
        <v>45759</v>
      </c>
      <c r="B13">
        <v>12</v>
      </c>
      <c r="C13">
        <f t="shared" si="2"/>
        <v>16.714285714285715</v>
      </c>
      <c r="D13">
        <f t="shared" si="0"/>
        <v>14.764712050999998</v>
      </c>
      <c r="E13">
        <f t="shared" si="1"/>
        <v>43.62752441666666</v>
      </c>
    </row>
    <row r="14" spans="1:5" x14ac:dyDescent="0.25">
      <c r="A14" s="11">
        <v>45760</v>
      </c>
      <c r="B14">
        <v>13</v>
      </c>
      <c r="C14">
        <f t="shared" si="2"/>
        <v>16</v>
      </c>
      <c r="D14">
        <f t="shared" si="0"/>
        <v>13.935298435699998</v>
      </c>
      <c r="E14">
        <f t="shared" si="1"/>
        <v>13.574708084615372</v>
      </c>
    </row>
    <row r="15" spans="1:5" x14ac:dyDescent="0.25">
      <c r="A15" s="11">
        <v>45761</v>
      </c>
      <c r="B15">
        <v>8</v>
      </c>
      <c r="C15">
        <f t="shared" si="2"/>
        <v>15</v>
      </c>
      <c r="D15">
        <f t="shared" si="0"/>
        <v>13.654708904989999</v>
      </c>
      <c r="E15">
        <f t="shared" si="1"/>
        <v>74.191230446249975</v>
      </c>
    </row>
    <row r="16" spans="1:5" x14ac:dyDescent="0.25">
      <c r="A16" s="11">
        <v>45762</v>
      </c>
      <c r="B16">
        <v>13</v>
      </c>
      <c r="C16">
        <f t="shared" si="2"/>
        <v>13.857142857142858</v>
      </c>
      <c r="D16">
        <f t="shared" si="0"/>
        <v>11.958296233492998</v>
      </c>
      <c r="E16">
        <f t="shared" si="1"/>
        <v>5.0362223460769133</v>
      </c>
    </row>
    <row r="17" spans="1:5" x14ac:dyDescent="0.25">
      <c r="A17" s="11">
        <v>45763</v>
      </c>
      <c r="B17">
        <v>15</v>
      </c>
      <c r="C17">
        <f t="shared" si="2"/>
        <v>12.714285714285714</v>
      </c>
      <c r="D17">
        <f t="shared" si="0"/>
        <v>12.270807363445099</v>
      </c>
      <c r="E17">
        <f t="shared" si="1"/>
        <v>20.278025110046681</v>
      </c>
    </row>
    <row r="18" spans="1:5" x14ac:dyDescent="0.25">
      <c r="A18" s="11">
        <v>45764</v>
      </c>
      <c r="B18">
        <v>13</v>
      </c>
      <c r="C18">
        <f t="shared" si="2"/>
        <v>12.142857142857142</v>
      </c>
      <c r="D18">
        <f t="shared" si="0"/>
        <v>13.089565154411568</v>
      </c>
      <c r="E18">
        <f t="shared" si="1"/>
        <v>5.6091741273453888</v>
      </c>
    </row>
    <row r="19" spans="1:5" x14ac:dyDescent="0.25">
      <c r="A19" s="11">
        <v>45765</v>
      </c>
      <c r="B19">
        <v>16</v>
      </c>
      <c r="C19">
        <f t="shared" si="2"/>
        <v>11.857142857142858</v>
      </c>
      <c r="D19">
        <f t="shared" si="0"/>
        <v>13.062695608088097</v>
      </c>
      <c r="E19">
        <f t="shared" si="1"/>
        <v>18.190217784927697</v>
      </c>
    </row>
    <row r="20" spans="1:5" x14ac:dyDescent="0.25">
      <c r="A20" s="11">
        <v>45766</v>
      </c>
      <c r="B20">
        <v>16</v>
      </c>
      <c r="C20">
        <f t="shared" si="2"/>
        <v>12.857142857142858</v>
      </c>
      <c r="D20">
        <f t="shared" si="0"/>
        <v>13.943886925661666</v>
      </c>
      <c r="E20">
        <f t="shared" si="1"/>
        <v>18.358152449449396</v>
      </c>
    </row>
    <row r="21" spans="1:5" x14ac:dyDescent="0.25">
      <c r="A21" s="11">
        <v>45767</v>
      </c>
      <c r="B21">
        <v>14</v>
      </c>
      <c r="C21">
        <f t="shared" si="2"/>
        <v>13.428571428571429</v>
      </c>
      <c r="D21">
        <f t="shared" si="0"/>
        <v>14.560720847963164</v>
      </c>
      <c r="E21">
        <f t="shared" si="1"/>
        <v>0.40080767384524607</v>
      </c>
    </row>
    <row r="22" spans="1:5" x14ac:dyDescent="0.25">
      <c r="A22" s="11">
        <v>45768</v>
      </c>
      <c r="B22">
        <v>5</v>
      </c>
      <c r="C22">
        <f t="shared" si="2"/>
        <v>13.571428571428571</v>
      </c>
      <c r="D22">
        <f t="shared" si="0"/>
        <v>14.392504593574216</v>
      </c>
      <c r="E22">
        <f t="shared" si="1"/>
        <v>191.2144169592633</v>
      </c>
    </row>
    <row r="23" spans="1:5" x14ac:dyDescent="0.25">
      <c r="A23" s="11">
        <v>45769</v>
      </c>
      <c r="B23">
        <v>10</v>
      </c>
      <c r="C23">
        <f t="shared" si="2"/>
        <v>13.142857142857142</v>
      </c>
      <c r="D23">
        <f t="shared" si="0"/>
        <v>11.57475321550195</v>
      </c>
      <c r="E23">
        <f t="shared" si="1"/>
        <v>43.925045935742162</v>
      </c>
    </row>
    <row r="24" spans="1:5" x14ac:dyDescent="0.25">
      <c r="A24" s="11">
        <v>45770</v>
      </c>
      <c r="B24">
        <v>12</v>
      </c>
      <c r="C24">
        <f t="shared" si="2"/>
        <v>12.714285714285714</v>
      </c>
      <c r="D24">
        <f t="shared" si="0"/>
        <v>11.102327250851365</v>
      </c>
      <c r="E24">
        <f t="shared" si="1"/>
        <v>3.5437232041504174</v>
      </c>
    </row>
    <row r="25" spans="1:5" x14ac:dyDescent="0.25">
      <c r="A25" s="11">
        <v>45771</v>
      </c>
      <c r="B25">
        <v>13</v>
      </c>
      <c r="C25">
        <f t="shared" si="2"/>
        <v>12.285714285714286</v>
      </c>
      <c r="D25">
        <f t="shared" si="0"/>
        <v>11.371629075595955</v>
      </c>
      <c r="E25">
        <f t="shared" si="1"/>
        <v>14.597482685758727</v>
      </c>
    </row>
    <row r="26" spans="1:5" x14ac:dyDescent="0.25">
      <c r="A26" s="11">
        <v>45772</v>
      </c>
      <c r="B26">
        <v>7</v>
      </c>
      <c r="C26">
        <f t="shared" si="2"/>
        <v>12.285714285714286</v>
      </c>
      <c r="D26">
        <f t="shared" si="0"/>
        <v>11.860140352917167</v>
      </c>
      <c r="E26">
        <f t="shared" si="1"/>
        <v>62.451843937085073</v>
      </c>
    </row>
    <row r="27" spans="1:5" x14ac:dyDescent="0.25">
      <c r="A27" s="11">
        <v>45773</v>
      </c>
      <c r="B27">
        <v>14</v>
      </c>
      <c r="C27">
        <f t="shared" si="2"/>
        <v>11</v>
      </c>
      <c r="D27">
        <f t="shared" si="0"/>
        <v>10.402098247042016</v>
      </c>
      <c r="E27">
        <f t="shared" si="1"/>
        <v>15.284711764877379</v>
      </c>
    </row>
    <row r="28" spans="1:5" x14ac:dyDescent="0.25">
      <c r="A28" s="11">
        <v>45774</v>
      </c>
      <c r="B28">
        <v>11</v>
      </c>
      <c r="C28">
        <f t="shared" si="2"/>
        <v>10.714285714285714</v>
      </c>
      <c r="D28">
        <f t="shared" si="0"/>
        <v>11.481468772929411</v>
      </c>
      <c r="E28">
        <f t="shared" si="1"/>
        <v>5.4354704814362202</v>
      </c>
    </row>
    <row r="29" spans="1:5" x14ac:dyDescent="0.25">
      <c r="A29" s="11">
        <v>45775</v>
      </c>
      <c r="B29">
        <v>13</v>
      </c>
      <c r="C29">
        <f t="shared" si="2"/>
        <v>10.285714285714286</v>
      </c>
      <c r="D29">
        <f t="shared" si="0"/>
        <v>11.337028141050588</v>
      </c>
      <c r="E29">
        <f t="shared" si="1"/>
        <v>11.681009439004534</v>
      </c>
    </row>
    <row r="30" spans="1:5" x14ac:dyDescent="0.25">
      <c r="A30" s="11">
        <v>45776</v>
      </c>
      <c r="B30">
        <v>13</v>
      </c>
      <c r="C30">
        <f t="shared" si="2"/>
        <v>11.428571428571429</v>
      </c>
      <c r="D30">
        <f t="shared" si="0"/>
        <v>11.835919698735411</v>
      </c>
      <c r="E30">
        <f t="shared" si="1"/>
        <v>12.792091222687782</v>
      </c>
    </row>
    <row r="31" spans="1:5" x14ac:dyDescent="0.25">
      <c r="A31" s="11">
        <v>45778</v>
      </c>
      <c r="B31">
        <v>15</v>
      </c>
      <c r="C31">
        <f t="shared" si="2"/>
        <v>11.857142857142858</v>
      </c>
      <c r="D31">
        <f t="shared" si="0"/>
        <v>12.185143789114788</v>
      </c>
      <c r="E31">
        <f t="shared" si="1"/>
        <v>21.093868675097259</v>
      </c>
    </row>
    <row r="32" spans="1:5" x14ac:dyDescent="0.25">
      <c r="A32" s="11">
        <v>45779</v>
      </c>
      <c r="B32">
        <v>15</v>
      </c>
      <c r="C32">
        <f t="shared" si="2"/>
        <v>12.285714285714286</v>
      </c>
      <c r="D32">
        <f t="shared" si="0"/>
        <v>13.029600652380351</v>
      </c>
      <c r="E32">
        <f t="shared" si="1"/>
        <v>18.765708072568081</v>
      </c>
    </row>
    <row r="33" spans="1:5" x14ac:dyDescent="0.25">
      <c r="A33" s="11">
        <v>45780</v>
      </c>
      <c r="B33">
        <v>2</v>
      </c>
      <c r="C33">
        <f t="shared" si="2"/>
        <v>12.571428571428571</v>
      </c>
      <c r="D33">
        <f t="shared" si="0"/>
        <v>13.620720456666245</v>
      </c>
      <c r="E33">
        <f t="shared" si="1"/>
        <v>551.48003261901749</v>
      </c>
    </row>
    <row r="34" spans="1:5" x14ac:dyDescent="0.25">
      <c r="A34" s="11">
        <v>45781</v>
      </c>
      <c r="B34">
        <v>1</v>
      </c>
      <c r="C34">
        <f t="shared" si="2"/>
        <v>11.857142857142858</v>
      </c>
      <c r="D34">
        <f t="shared" si="0"/>
        <v>10.13450431966637</v>
      </c>
      <c r="E34">
        <f t="shared" si="1"/>
        <v>1262.0720456666245</v>
      </c>
    </row>
    <row r="35" spans="1:5" x14ac:dyDescent="0.25">
      <c r="A35" s="11">
        <v>45782</v>
      </c>
      <c r="B35">
        <v>2</v>
      </c>
      <c r="C35">
        <f t="shared" si="2"/>
        <v>10</v>
      </c>
      <c r="D35">
        <f t="shared" si="0"/>
        <v>7.3941530237664583</v>
      </c>
      <c r="E35">
        <f t="shared" si="1"/>
        <v>406.72521598331849</v>
      </c>
    </row>
    <row r="36" spans="1:5" x14ac:dyDescent="0.25">
      <c r="A36" s="11">
        <v>45783</v>
      </c>
      <c r="B36">
        <v>6</v>
      </c>
      <c r="C36">
        <f t="shared" si="2"/>
        <v>8.7142857142857135</v>
      </c>
      <c r="D36">
        <f t="shared" si="0"/>
        <v>5.7759071166365201</v>
      </c>
      <c r="E36">
        <f t="shared" si="1"/>
        <v>23.235883729440975</v>
      </c>
    </row>
    <row r="37" spans="1:5" x14ac:dyDescent="0.25">
      <c r="A37" s="11">
        <v>45784</v>
      </c>
      <c r="B37">
        <v>8</v>
      </c>
      <c r="C37">
        <f t="shared" si="2"/>
        <v>7.7142857142857144</v>
      </c>
      <c r="D37">
        <f t="shared" si="0"/>
        <v>5.843134981645564</v>
      </c>
      <c r="E37">
        <f t="shared" si="1"/>
        <v>27.8011610420435</v>
      </c>
    </row>
    <row r="38" spans="1:5" x14ac:dyDescent="0.25">
      <c r="A38" s="11">
        <v>45785</v>
      </c>
      <c r="B38">
        <v>10</v>
      </c>
      <c r="C38">
        <f t="shared" si="2"/>
        <v>7</v>
      </c>
      <c r="D38">
        <f t="shared" si="0"/>
        <v>6.4901944871518946</v>
      </c>
      <c r="E38">
        <f t="shared" si="1"/>
        <v>41.568650183544356</v>
      </c>
    </row>
    <row r="39" spans="1:5" x14ac:dyDescent="0.25">
      <c r="A39" s="11">
        <v>45786</v>
      </c>
      <c r="B39">
        <v>13</v>
      </c>
      <c r="C39">
        <f t="shared" si="2"/>
        <v>6.2857142857142856</v>
      </c>
      <c r="D39">
        <f t="shared" si="0"/>
        <v>7.5431361410063262</v>
      </c>
      <c r="E39">
        <f t="shared" si="1"/>
        <v>50.075427021908503</v>
      </c>
    </row>
    <row r="40" spans="1:5" x14ac:dyDescent="0.25">
      <c r="A40" s="11">
        <v>45787</v>
      </c>
      <c r="B40">
        <v>11</v>
      </c>
      <c r="C40">
        <f t="shared" si="2"/>
        <v>6</v>
      </c>
      <c r="D40">
        <f t="shared" si="0"/>
        <v>9.1801952987044277</v>
      </c>
      <c r="E40">
        <f t="shared" si="1"/>
        <v>31.426035081760674</v>
      </c>
    </row>
    <row r="41" spans="1:5" x14ac:dyDescent="0.25">
      <c r="A41" s="11">
        <v>45788</v>
      </c>
      <c r="B41">
        <v>12</v>
      </c>
      <c r="C41">
        <f t="shared" si="2"/>
        <v>7.2857142857142856</v>
      </c>
      <c r="D41">
        <f t="shared" si="0"/>
        <v>9.7261367090930992</v>
      </c>
      <c r="E41">
        <f t="shared" si="1"/>
        <v>23.498372510796436</v>
      </c>
    </row>
    <row r="42" spans="1:5" x14ac:dyDescent="0.25">
      <c r="A42" s="11">
        <v>45789</v>
      </c>
      <c r="B42">
        <v>12</v>
      </c>
      <c r="C42">
        <f t="shared" si="2"/>
        <v>8.8571428571428577</v>
      </c>
      <c r="D42">
        <f t="shared" si="0"/>
        <v>10.408295696365169</v>
      </c>
      <c r="E42">
        <f t="shared" si="1"/>
        <v>18.948860757557505</v>
      </c>
    </row>
    <row r="43" spans="1:5" x14ac:dyDescent="0.25">
      <c r="A43" s="11">
        <v>45790</v>
      </c>
      <c r="B43">
        <v>18</v>
      </c>
      <c r="C43">
        <f t="shared" si="2"/>
        <v>10.285714285714286</v>
      </c>
      <c r="D43">
        <f t="shared" si="0"/>
        <v>10.885806987455616</v>
      </c>
      <c r="E43">
        <f t="shared" si="1"/>
        <v>42.176135020193506</v>
      </c>
    </row>
    <row r="44" spans="1:5" x14ac:dyDescent="0.25">
      <c r="A44" s="11">
        <v>45791</v>
      </c>
      <c r="B44">
        <v>18</v>
      </c>
      <c r="C44">
        <f t="shared" si="2"/>
        <v>12</v>
      </c>
      <c r="D44">
        <f t="shared" si="0"/>
        <v>13.020064891218929</v>
      </c>
      <c r="E44">
        <f t="shared" si="1"/>
        <v>39.523294514135465</v>
      </c>
    </row>
    <row r="45" spans="1:5" x14ac:dyDescent="0.25">
      <c r="A45" s="11">
        <v>45792</v>
      </c>
      <c r="B45">
        <v>16</v>
      </c>
      <c r="C45">
        <f t="shared" si="2"/>
        <v>13.428571428571429</v>
      </c>
      <c r="D45">
        <f t="shared" si="0"/>
        <v>14.514045423853251</v>
      </c>
      <c r="E45">
        <f t="shared" si="1"/>
        <v>18.624594429881689</v>
      </c>
    </row>
    <row r="46" spans="1:5" x14ac:dyDescent="0.25">
      <c r="A46" s="11">
        <v>45793</v>
      </c>
      <c r="B46">
        <v>12</v>
      </c>
      <c r="C46">
        <f t="shared" si="2"/>
        <v>14.285714285714286</v>
      </c>
      <c r="D46">
        <f t="shared" si="0"/>
        <v>14.959831796697273</v>
      </c>
      <c r="E46">
        <f t="shared" si="1"/>
        <v>20.950378532110424</v>
      </c>
    </row>
    <row r="47" spans="1:5" x14ac:dyDescent="0.25">
      <c r="A47" s="11">
        <v>45794</v>
      </c>
      <c r="B47">
        <v>1</v>
      </c>
      <c r="C47">
        <f t="shared" si="2"/>
        <v>14.142857142857142</v>
      </c>
      <c r="D47">
        <f t="shared" si="0"/>
        <v>14.07188225768809</v>
      </c>
      <c r="E47">
        <f t="shared" si="1"/>
        <v>1395.9831796697272</v>
      </c>
    </row>
    <row r="48" spans="1:5" x14ac:dyDescent="0.25">
      <c r="A48" s="11">
        <v>45795</v>
      </c>
      <c r="B48">
        <v>1</v>
      </c>
      <c r="C48">
        <f t="shared" si="2"/>
        <v>12.714285714285714</v>
      </c>
      <c r="D48">
        <f t="shared" si="0"/>
        <v>10.150317580381664</v>
      </c>
      <c r="E48">
        <f t="shared" si="1"/>
        <v>1307.1882257688089</v>
      </c>
    </row>
    <row r="49" spans="1:5" x14ac:dyDescent="0.25">
      <c r="A49" s="11">
        <v>45803</v>
      </c>
      <c r="B49">
        <v>1</v>
      </c>
      <c r="C49">
        <f t="shared" si="2"/>
        <v>11.142857142857142</v>
      </c>
      <c r="D49">
        <f t="shared" si="0"/>
        <v>7.4052223062671638</v>
      </c>
      <c r="E49">
        <f t="shared" si="1"/>
        <v>915.03175803816634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B1905-0127-49E1-AE94-8AB66AE4CCB5}">
  <dimension ref="A1:H17"/>
  <sheetViews>
    <sheetView workbookViewId="0">
      <selection activeCell="H8" sqref="H8"/>
    </sheetView>
  </sheetViews>
  <sheetFormatPr defaultRowHeight="15" x14ac:dyDescent="0.25"/>
  <cols>
    <col min="1" max="1" width="16.85546875" customWidth="1"/>
    <col min="2" max="2" width="23.42578125" customWidth="1"/>
    <col min="3" max="3" width="19.5703125" customWidth="1"/>
    <col min="4" max="4" width="15.85546875" customWidth="1"/>
    <col min="5" max="5" width="15.28515625" customWidth="1"/>
    <col min="6" max="6" width="17.7109375" customWidth="1"/>
    <col min="7" max="7" width="15" customWidth="1"/>
  </cols>
  <sheetData>
    <row r="1" spans="1:8" x14ac:dyDescent="0.25">
      <c r="A1" s="24" t="s">
        <v>1409</v>
      </c>
      <c r="B1" s="24" t="s">
        <v>1410</v>
      </c>
      <c r="C1" s="24" t="s">
        <v>1411</v>
      </c>
      <c r="D1" s="24" t="s">
        <v>1429</v>
      </c>
      <c r="E1" s="24" t="s">
        <v>1412</v>
      </c>
      <c r="F1" s="24" t="s">
        <v>1413</v>
      </c>
      <c r="G1" s="24" t="s">
        <v>1414</v>
      </c>
      <c r="H1" s="24" t="s">
        <v>1415</v>
      </c>
    </row>
    <row r="2" spans="1:8" x14ac:dyDescent="0.25">
      <c r="A2" s="24" t="s">
        <v>675</v>
      </c>
      <c r="B2" s="24">
        <v>55</v>
      </c>
      <c r="C2" s="24">
        <v>50</v>
      </c>
      <c r="D2" s="24" t="s">
        <v>1430</v>
      </c>
      <c r="E2">
        <f t="shared" ref="E2:E17" si="0">C2*12</f>
        <v>600</v>
      </c>
      <c r="F2">
        <f t="shared" ref="F2:F17" si="1">B2*E2</f>
        <v>33000</v>
      </c>
      <c r="G2">
        <f>F2/SUM($F$2:$F$17)*100</f>
        <v>15.786452353616534</v>
      </c>
      <c r="H2" t="str">
        <f t="shared" ref="H2:H17" si="2">IF(G2&lt;=70,"A",IF(G2&lt;=90,"B","C"))</f>
        <v>A</v>
      </c>
    </row>
    <row r="3" spans="1:8" ht="14.25" customHeight="1" x14ac:dyDescent="0.25">
      <c r="A3" s="24" t="s">
        <v>513</v>
      </c>
      <c r="B3" s="24">
        <v>180</v>
      </c>
      <c r="C3" s="24">
        <v>15</v>
      </c>
      <c r="D3" s="24" t="s">
        <v>1430</v>
      </c>
      <c r="E3">
        <f t="shared" si="0"/>
        <v>180</v>
      </c>
      <c r="F3">
        <f t="shared" si="1"/>
        <v>32400</v>
      </c>
      <c r="G3">
        <f>G2+F3/SUM($F$2:$F$17)*100</f>
        <v>31.285878300803674</v>
      </c>
      <c r="H3" t="str">
        <f t="shared" si="2"/>
        <v>A</v>
      </c>
    </row>
    <row r="4" spans="1:8" x14ac:dyDescent="0.25">
      <c r="A4" s="24" t="s">
        <v>1416</v>
      </c>
      <c r="B4" s="24">
        <v>200</v>
      </c>
      <c r="C4" s="24">
        <v>12</v>
      </c>
      <c r="D4" s="24" t="s">
        <v>1430</v>
      </c>
      <c r="E4">
        <f t="shared" si="0"/>
        <v>144</v>
      </c>
      <c r="F4">
        <f t="shared" si="1"/>
        <v>28800</v>
      </c>
      <c r="G4">
        <f t="shared" ref="G4:G17" si="3">G3+F4/SUM($F$2:$F$17)*100</f>
        <v>45.063145809414465</v>
      </c>
      <c r="H4" t="str">
        <f t="shared" si="2"/>
        <v>A</v>
      </c>
    </row>
    <row r="5" spans="1:8" x14ac:dyDescent="0.25">
      <c r="A5" s="24" t="s">
        <v>1427</v>
      </c>
      <c r="B5" s="24">
        <v>650</v>
      </c>
      <c r="C5" s="24">
        <v>2</v>
      </c>
      <c r="D5" s="24" t="s">
        <v>1431</v>
      </c>
      <c r="E5">
        <f t="shared" si="0"/>
        <v>24</v>
      </c>
      <c r="F5">
        <f t="shared" si="1"/>
        <v>15600</v>
      </c>
      <c r="G5">
        <f t="shared" si="3"/>
        <v>52.525832376578641</v>
      </c>
      <c r="H5" t="str">
        <f t="shared" si="2"/>
        <v>A</v>
      </c>
    </row>
    <row r="6" spans="1:8" x14ac:dyDescent="0.25">
      <c r="A6" s="24" t="s">
        <v>1419</v>
      </c>
      <c r="B6" s="24">
        <v>150</v>
      </c>
      <c r="C6" s="24">
        <v>8</v>
      </c>
      <c r="D6" s="24" t="s">
        <v>1431</v>
      </c>
      <c r="E6">
        <f t="shared" si="0"/>
        <v>96</v>
      </c>
      <c r="F6">
        <f t="shared" si="1"/>
        <v>14400</v>
      </c>
      <c r="G6">
        <f t="shared" si="3"/>
        <v>59.414466130884037</v>
      </c>
      <c r="H6" t="str">
        <f t="shared" si="2"/>
        <v>A</v>
      </c>
    </row>
    <row r="7" spans="1:8" x14ac:dyDescent="0.25">
      <c r="A7" s="24" t="s">
        <v>510</v>
      </c>
      <c r="B7" s="24">
        <v>115</v>
      </c>
      <c r="C7" s="24">
        <v>8</v>
      </c>
      <c r="D7" s="24" t="s">
        <v>1430</v>
      </c>
      <c r="E7">
        <f t="shared" si="0"/>
        <v>96</v>
      </c>
      <c r="F7">
        <f t="shared" si="1"/>
        <v>11040</v>
      </c>
      <c r="G7">
        <f t="shared" si="3"/>
        <v>64.695752009184844</v>
      </c>
      <c r="H7" t="str">
        <f t="shared" si="2"/>
        <v>A</v>
      </c>
    </row>
    <row r="8" spans="1:8" x14ac:dyDescent="0.25">
      <c r="A8" s="24" t="s">
        <v>1420</v>
      </c>
      <c r="B8" s="24">
        <v>50</v>
      </c>
      <c r="C8" s="24">
        <v>16</v>
      </c>
      <c r="D8" s="24" t="s">
        <v>1432</v>
      </c>
      <c r="E8">
        <f t="shared" si="0"/>
        <v>192</v>
      </c>
      <c r="F8">
        <f t="shared" si="1"/>
        <v>9600</v>
      </c>
      <c r="G8">
        <f t="shared" si="3"/>
        <v>69.288174512055107</v>
      </c>
      <c r="H8" t="str">
        <f t="shared" si="2"/>
        <v>A</v>
      </c>
    </row>
    <row r="9" spans="1:8" x14ac:dyDescent="0.25">
      <c r="A9" s="24" t="s">
        <v>1424</v>
      </c>
      <c r="B9" s="24">
        <v>80</v>
      </c>
      <c r="C9" s="24">
        <v>10</v>
      </c>
      <c r="D9" s="24" t="s">
        <v>1431</v>
      </c>
      <c r="E9">
        <f t="shared" si="0"/>
        <v>120</v>
      </c>
      <c r="F9">
        <f t="shared" si="1"/>
        <v>9600</v>
      </c>
      <c r="G9">
        <f t="shared" si="3"/>
        <v>73.880597014925371</v>
      </c>
      <c r="H9" t="str">
        <f t="shared" si="2"/>
        <v>B</v>
      </c>
    </row>
    <row r="10" spans="1:8" x14ac:dyDescent="0.25">
      <c r="A10" s="24" t="s">
        <v>1425</v>
      </c>
      <c r="B10" s="24">
        <v>400</v>
      </c>
      <c r="C10" s="24">
        <v>2</v>
      </c>
      <c r="D10" s="24" t="s">
        <v>1430</v>
      </c>
      <c r="E10">
        <f t="shared" si="0"/>
        <v>24</v>
      </c>
      <c r="F10">
        <f t="shared" si="1"/>
        <v>9600</v>
      </c>
      <c r="G10">
        <f t="shared" si="3"/>
        <v>78.473019517795635</v>
      </c>
      <c r="H10" t="str">
        <f t="shared" si="2"/>
        <v>B</v>
      </c>
    </row>
    <row r="11" spans="1:8" x14ac:dyDescent="0.25">
      <c r="A11" s="24" t="s">
        <v>1428</v>
      </c>
      <c r="B11" s="24">
        <v>750</v>
      </c>
      <c r="C11" s="24">
        <v>1</v>
      </c>
      <c r="D11" s="24" t="s">
        <v>1430</v>
      </c>
      <c r="E11">
        <f t="shared" si="0"/>
        <v>12</v>
      </c>
      <c r="F11">
        <f t="shared" si="1"/>
        <v>9000</v>
      </c>
      <c r="G11">
        <f t="shared" si="3"/>
        <v>82.778415614236508</v>
      </c>
      <c r="H11" t="str">
        <f t="shared" si="2"/>
        <v>B</v>
      </c>
    </row>
    <row r="12" spans="1:8" x14ac:dyDescent="0.25">
      <c r="A12" s="24" t="s">
        <v>1421</v>
      </c>
      <c r="B12" s="24">
        <v>6</v>
      </c>
      <c r="C12" s="24">
        <v>120</v>
      </c>
      <c r="D12" s="24" t="s">
        <v>1432</v>
      </c>
      <c r="E12">
        <f t="shared" si="0"/>
        <v>1440</v>
      </c>
      <c r="F12">
        <f t="shared" si="1"/>
        <v>8640</v>
      </c>
      <c r="G12">
        <f t="shared" si="3"/>
        <v>86.911595866819752</v>
      </c>
      <c r="H12" t="str">
        <f t="shared" si="2"/>
        <v>B</v>
      </c>
    </row>
    <row r="13" spans="1:8" x14ac:dyDescent="0.25">
      <c r="A13" s="24" t="s">
        <v>1418</v>
      </c>
      <c r="B13" s="24">
        <v>35</v>
      </c>
      <c r="C13" s="24">
        <v>20</v>
      </c>
      <c r="D13" s="24" t="s">
        <v>1430</v>
      </c>
      <c r="E13">
        <f t="shared" si="0"/>
        <v>240</v>
      </c>
      <c r="F13">
        <f t="shared" si="1"/>
        <v>8400</v>
      </c>
      <c r="G13">
        <f t="shared" si="3"/>
        <v>90.929965556831235</v>
      </c>
      <c r="H13" t="str">
        <f t="shared" si="2"/>
        <v>C</v>
      </c>
    </row>
    <row r="14" spans="1:8" x14ac:dyDescent="0.25">
      <c r="A14" s="24" t="s">
        <v>1417</v>
      </c>
      <c r="B14" s="24">
        <v>25</v>
      </c>
      <c r="C14" s="24">
        <v>20</v>
      </c>
      <c r="D14" s="24" t="s">
        <v>1430</v>
      </c>
      <c r="E14">
        <f t="shared" si="0"/>
        <v>240</v>
      </c>
      <c r="F14">
        <f t="shared" si="1"/>
        <v>6000</v>
      </c>
      <c r="G14">
        <f t="shared" si="3"/>
        <v>93.800229621125155</v>
      </c>
      <c r="H14" t="str">
        <f t="shared" si="2"/>
        <v>C</v>
      </c>
    </row>
    <row r="15" spans="1:8" x14ac:dyDescent="0.25">
      <c r="A15" s="24" t="s">
        <v>1422</v>
      </c>
      <c r="B15" s="24">
        <v>30</v>
      </c>
      <c r="C15" s="24">
        <v>15</v>
      </c>
      <c r="D15" s="24" t="s">
        <v>1430</v>
      </c>
      <c r="E15">
        <f t="shared" si="0"/>
        <v>180</v>
      </c>
      <c r="F15">
        <f t="shared" si="1"/>
        <v>5400</v>
      </c>
      <c r="G15">
        <f t="shared" si="3"/>
        <v>96.383467278989684</v>
      </c>
      <c r="H15" t="str">
        <f t="shared" si="2"/>
        <v>C</v>
      </c>
    </row>
    <row r="16" spans="1:8" x14ac:dyDescent="0.25">
      <c r="A16" s="24" t="s">
        <v>1423</v>
      </c>
      <c r="B16" s="24">
        <v>15</v>
      </c>
      <c r="C16" s="24">
        <v>30</v>
      </c>
      <c r="D16" s="24" t="s">
        <v>1432</v>
      </c>
      <c r="E16">
        <f t="shared" si="0"/>
        <v>360</v>
      </c>
      <c r="F16">
        <f t="shared" si="1"/>
        <v>5400</v>
      </c>
      <c r="G16">
        <f t="shared" si="3"/>
        <v>98.966704936854214</v>
      </c>
      <c r="H16" t="str">
        <f t="shared" si="2"/>
        <v>C</v>
      </c>
    </row>
    <row r="17" spans="1:8" x14ac:dyDescent="0.25">
      <c r="A17" s="24" t="s">
        <v>1426</v>
      </c>
      <c r="B17" s="24">
        <v>45</v>
      </c>
      <c r="C17" s="24">
        <v>4</v>
      </c>
      <c r="D17" s="24" t="s">
        <v>1433</v>
      </c>
      <c r="E17">
        <f t="shared" si="0"/>
        <v>48</v>
      </c>
      <c r="F17">
        <f t="shared" si="1"/>
        <v>2160</v>
      </c>
      <c r="G17">
        <f t="shared" si="3"/>
        <v>100.00000000000003</v>
      </c>
      <c r="H17" t="str">
        <f t="shared" si="2"/>
        <v>C</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190F-6B13-4AE8-AF75-49B6F40B676F}">
  <dimension ref="A1:K15"/>
  <sheetViews>
    <sheetView workbookViewId="0">
      <selection activeCell="B4" sqref="B4"/>
    </sheetView>
  </sheetViews>
  <sheetFormatPr defaultRowHeight="15" x14ac:dyDescent="0.25"/>
  <cols>
    <col min="1" max="1" width="12.85546875" customWidth="1"/>
    <col min="2" max="2" width="18.85546875" customWidth="1"/>
    <col min="4" max="4" width="10.28515625" customWidth="1"/>
    <col min="5" max="5" width="18.28515625" customWidth="1"/>
    <col min="6" max="6" width="20.7109375" customWidth="1"/>
    <col min="7" max="7" width="15.5703125" customWidth="1"/>
    <col min="8" max="8" width="23.5703125" customWidth="1"/>
    <col min="9" max="9" width="12.140625" customWidth="1"/>
    <col min="10" max="10" width="13.42578125" customWidth="1"/>
    <col min="11" max="11" width="11" customWidth="1"/>
  </cols>
  <sheetData>
    <row r="1" spans="1:11" ht="40.5" customHeight="1" x14ac:dyDescent="0.25">
      <c r="A1" s="24" t="s">
        <v>1409</v>
      </c>
      <c r="B1" s="24" t="s">
        <v>1434</v>
      </c>
      <c r="C1" s="24" t="s">
        <v>1429</v>
      </c>
      <c r="D1" s="24" t="s">
        <v>1435</v>
      </c>
      <c r="E1" s="24" t="s">
        <v>1436</v>
      </c>
      <c r="F1" s="24" t="s">
        <v>1437</v>
      </c>
      <c r="G1" s="24" t="s">
        <v>1438</v>
      </c>
      <c r="H1" s="24" t="s">
        <v>1439</v>
      </c>
      <c r="I1" s="24" t="s">
        <v>1440</v>
      </c>
      <c r="J1" s="24" t="s">
        <v>1441</v>
      </c>
      <c r="K1" s="24" t="s">
        <v>1442</v>
      </c>
    </row>
    <row r="2" spans="1:11" x14ac:dyDescent="0.25">
      <c r="A2" s="24" t="s">
        <v>513</v>
      </c>
      <c r="B2" s="24">
        <v>0.5</v>
      </c>
      <c r="C2" s="24" t="s">
        <v>1430</v>
      </c>
      <c r="D2" s="24">
        <v>0.2</v>
      </c>
      <c r="E2" s="24">
        <v>2</v>
      </c>
      <c r="F2">
        <f t="shared" ref="F2:F8" si="0">B2*365</f>
        <v>182.5</v>
      </c>
      <c r="G2" s="24">
        <v>50</v>
      </c>
      <c r="H2" s="24">
        <v>18</v>
      </c>
      <c r="I2">
        <f t="shared" ref="I2:I8" si="1">SQRT((2*F2*G2)/H2)</f>
        <v>31.841621957571334</v>
      </c>
      <c r="J2">
        <f t="shared" ref="J2:J8" si="2">1.645*D2*SQRT(E2)</f>
        <v>0.46527626202074834</v>
      </c>
      <c r="K2">
        <f t="shared" ref="K2:K8" si="3">B2*E2+J2</f>
        <v>1.4652762620207485</v>
      </c>
    </row>
    <row r="3" spans="1:11" ht="17.25" customHeight="1" x14ac:dyDescent="0.25">
      <c r="A3" s="24" t="s">
        <v>675</v>
      </c>
      <c r="B3" s="24">
        <v>2</v>
      </c>
      <c r="C3" s="24" t="s">
        <v>1430</v>
      </c>
      <c r="D3" s="24">
        <v>0.5</v>
      </c>
      <c r="E3" s="24">
        <v>2</v>
      </c>
      <c r="F3">
        <f t="shared" si="0"/>
        <v>730</v>
      </c>
      <c r="G3" s="24">
        <v>50</v>
      </c>
      <c r="H3" s="24">
        <v>5.5</v>
      </c>
      <c r="I3">
        <f t="shared" si="1"/>
        <v>115.2073229995701</v>
      </c>
      <c r="J3">
        <f t="shared" si="2"/>
        <v>1.1631906550518707</v>
      </c>
      <c r="K3">
        <f t="shared" si="3"/>
        <v>5.1631906550518707</v>
      </c>
    </row>
    <row r="4" spans="1:11" x14ac:dyDescent="0.25">
      <c r="A4" s="24" t="s">
        <v>1416</v>
      </c>
      <c r="B4" s="24">
        <v>0.4</v>
      </c>
      <c r="C4" s="24" t="s">
        <v>1430</v>
      </c>
      <c r="D4" s="24">
        <v>0.3</v>
      </c>
      <c r="E4" s="24">
        <v>1</v>
      </c>
      <c r="F4">
        <f t="shared" si="0"/>
        <v>146</v>
      </c>
      <c r="G4" s="24">
        <v>50</v>
      </c>
      <c r="H4" s="24">
        <v>20</v>
      </c>
      <c r="I4">
        <f t="shared" si="1"/>
        <v>27.018512172212592</v>
      </c>
      <c r="J4">
        <f t="shared" si="2"/>
        <v>0.49349999999999999</v>
      </c>
      <c r="K4">
        <f t="shared" si="3"/>
        <v>0.89349999999999996</v>
      </c>
    </row>
    <row r="5" spans="1:11" x14ac:dyDescent="0.25">
      <c r="A5" s="24" t="s">
        <v>1418</v>
      </c>
      <c r="B5" s="24">
        <v>1.5</v>
      </c>
      <c r="C5" s="24" t="s">
        <v>1430</v>
      </c>
      <c r="D5" s="24">
        <v>0.2</v>
      </c>
      <c r="E5" s="24">
        <v>2</v>
      </c>
      <c r="F5">
        <f t="shared" si="0"/>
        <v>547.5</v>
      </c>
      <c r="G5" s="24">
        <v>30</v>
      </c>
      <c r="H5" s="24">
        <v>3.5</v>
      </c>
      <c r="I5">
        <f t="shared" si="1"/>
        <v>96.879896189634138</v>
      </c>
      <c r="J5">
        <f t="shared" si="2"/>
        <v>0.46527626202074834</v>
      </c>
      <c r="K5">
        <f t="shared" si="3"/>
        <v>3.4652762620207485</v>
      </c>
    </row>
    <row r="6" spans="1:11" ht="14.25" customHeight="1" x14ac:dyDescent="0.25">
      <c r="A6" s="24" t="s">
        <v>1419</v>
      </c>
      <c r="B6" s="24">
        <v>0.3</v>
      </c>
      <c r="C6" s="24" t="s">
        <v>1431</v>
      </c>
      <c r="D6" s="24">
        <v>0.1</v>
      </c>
      <c r="E6" s="24">
        <v>3</v>
      </c>
      <c r="F6">
        <f t="shared" si="0"/>
        <v>109.5</v>
      </c>
      <c r="G6" s="24">
        <v>50</v>
      </c>
      <c r="H6" s="24">
        <v>15</v>
      </c>
      <c r="I6">
        <f t="shared" si="1"/>
        <v>27.018512172212592</v>
      </c>
      <c r="J6">
        <f t="shared" si="2"/>
        <v>0.2849223578450803</v>
      </c>
      <c r="K6">
        <f t="shared" si="3"/>
        <v>1.1849223578450803</v>
      </c>
    </row>
    <row r="7" spans="1:11" x14ac:dyDescent="0.25">
      <c r="A7" s="24" t="s">
        <v>1421</v>
      </c>
      <c r="B7" s="24">
        <v>4</v>
      </c>
      <c r="C7" s="24" t="s">
        <v>1432</v>
      </c>
      <c r="D7" s="24">
        <v>2</v>
      </c>
      <c r="E7" s="24">
        <v>1</v>
      </c>
      <c r="F7">
        <f t="shared" si="0"/>
        <v>1460</v>
      </c>
      <c r="G7" s="24">
        <v>30</v>
      </c>
      <c r="H7" s="24">
        <v>0.6</v>
      </c>
      <c r="I7">
        <f t="shared" si="1"/>
        <v>382.09946349085601</v>
      </c>
      <c r="J7">
        <f t="shared" si="2"/>
        <v>3.29</v>
      </c>
      <c r="K7">
        <f t="shared" si="3"/>
        <v>7.29</v>
      </c>
    </row>
    <row r="8" spans="1:11" x14ac:dyDescent="0.25">
      <c r="A8" s="24" t="s">
        <v>1427</v>
      </c>
      <c r="B8" s="24">
        <v>7.0000000000000007E-2</v>
      </c>
      <c r="C8" s="24" t="s">
        <v>1431</v>
      </c>
      <c r="D8" s="24">
        <v>0.03</v>
      </c>
      <c r="E8" s="24">
        <v>3</v>
      </c>
      <c r="F8">
        <f t="shared" si="0"/>
        <v>25.55</v>
      </c>
      <c r="G8" s="24">
        <v>50</v>
      </c>
      <c r="H8" s="24">
        <v>65</v>
      </c>
      <c r="I8">
        <f t="shared" si="1"/>
        <v>6.2695846997781528</v>
      </c>
      <c r="J8">
        <f t="shared" si="2"/>
        <v>8.5476707353524084E-2</v>
      </c>
      <c r="K8">
        <f t="shared" si="3"/>
        <v>0.2954767073535241</v>
      </c>
    </row>
    <row r="9" spans="1:11" x14ac:dyDescent="0.25">
      <c r="A9" s="24"/>
      <c r="B9" s="24"/>
      <c r="C9" s="24"/>
      <c r="D9" s="24"/>
      <c r="E9" s="24"/>
      <c r="F9" s="24"/>
    </row>
    <row r="10" spans="1:11" x14ac:dyDescent="0.25">
      <c r="A10" s="24"/>
      <c r="B10" s="24"/>
      <c r="C10" s="24"/>
      <c r="D10" s="24"/>
      <c r="E10" s="24"/>
      <c r="F10" s="24"/>
    </row>
    <row r="11" spans="1:11" x14ac:dyDescent="0.25">
      <c r="A11" s="24"/>
      <c r="B11" s="24"/>
      <c r="C11" s="24"/>
      <c r="D11" s="24"/>
      <c r="E11" s="24"/>
      <c r="F11" s="24"/>
    </row>
    <row r="12" spans="1:11" x14ac:dyDescent="0.25">
      <c r="A12" s="24"/>
      <c r="B12" s="24"/>
      <c r="C12" s="24"/>
      <c r="D12" s="24"/>
      <c r="E12" s="24"/>
      <c r="F12" s="24"/>
    </row>
    <row r="13" spans="1:11" x14ac:dyDescent="0.25">
      <c r="A13" s="24"/>
      <c r="B13" s="24"/>
      <c r="C13" s="24"/>
      <c r="D13" s="24"/>
      <c r="E13" s="24"/>
      <c r="F13" s="24"/>
    </row>
    <row r="14" spans="1:11" x14ac:dyDescent="0.25">
      <c r="A14" s="24"/>
      <c r="B14" s="24"/>
      <c r="C14" s="24"/>
      <c r="D14" s="24"/>
      <c r="E14" s="24"/>
      <c r="F14" s="24"/>
    </row>
    <row r="15" spans="1:11" x14ac:dyDescent="0.25">
      <c r="A15" s="24"/>
      <c r="B15" s="24"/>
      <c r="C15" s="24"/>
      <c r="D15" s="24"/>
      <c r="E15" s="24"/>
      <c r="F15" s="2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78781-B34F-4249-892F-7D666CEE2C16}">
  <dimension ref="A1:H21"/>
  <sheetViews>
    <sheetView zoomScaleNormal="100" workbookViewId="0">
      <selection activeCell="B11" sqref="B11"/>
    </sheetView>
  </sheetViews>
  <sheetFormatPr defaultRowHeight="15" x14ac:dyDescent="0.25"/>
  <cols>
    <col min="1" max="1" width="28.28515625" customWidth="1"/>
    <col min="2" max="2" width="18" customWidth="1"/>
    <col min="3" max="3" width="19.28515625" customWidth="1"/>
    <col min="4" max="4" width="17" customWidth="1"/>
    <col min="5" max="5" width="19.7109375" customWidth="1"/>
    <col min="6" max="6" width="12.140625" customWidth="1"/>
    <col min="8" max="8" width="10.42578125" customWidth="1"/>
  </cols>
  <sheetData>
    <row r="1" spans="1:8" ht="22.5" customHeight="1" x14ac:dyDescent="0.25">
      <c r="A1" s="24" t="s">
        <v>1443</v>
      </c>
      <c r="B1" s="24" t="s">
        <v>1444</v>
      </c>
      <c r="C1" s="24" t="s">
        <v>1445</v>
      </c>
      <c r="D1" s="24" t="s">
        <v>1446</v>
      </c>
      <c r="E1" s="24" t="s">
        <v>1447</v>
      </c>
      <c r="F1" s="24" t="s">
        <v>1448</v>
      </c>
      <c r="G1" s="24" t="s">
        <v>1449</v>
      </c>
      <c r="H1" s="24" t="s">
        <v>1454</v>
      </c>
    </row>
    <row r="2" spans="1:8" x14ac:dyDescent="0.25">
      <c r="A2" s="18" t="s">
        <v>428</v>
      </c>
      <c r="B2">
        <v>120</v>
      </c>
      <c r="C2">
        <v>33.770000000000003</v>
      </c>
      <c r="D2">
        <f t="shared" ref="D2:D21" si="0">0.3*B2</f>
        <v>36</v>
      </c>
      <c r="E2">
        <f>C2+D2</f>
        <v>69.77000000000001</v>
      </c>
      <c r="F2">
        <f>B2-E2</f>
        <v>50.22999999999999</v>
      </c>
      <c r="G2">
        <f>F2/B2*100</f>
        <v>41.858333333333327</v>
      </c>
      <c r="H2" t="s">
        <v>1450</v>
      </c>
    </row>
    <row r="3" spans="1:8" x14ac:dyDescent="0.25">
      <c r="A3" s="18" t="s">
        <v>392</v>
      </c>
      <c r="B3">
        <v>190</v>
      </c>
      <c r="C3">
        <v>77.56</v>
      </c>
      <c r="D3">
        <f t="shared" si="0"/>
        <v>57</v>
      </c>
      <c r="E3">
        <f t="shared" ref="E3:E21" si="1">C3+D3</f>
        <v>134.56</v>
      </c>
      <c r="F3">
        <f t="shared" ref="F3:F21" si="2">B3-E3</f>
        <v>55.44</v>
      </c>
      <c r="G3">
        <f t="shared" ref="G3:G21" si="3">F3/B3*100</f>
        <v>29.178947368421049</v>
      </c>
      <c r="H3" t="s">
        <v>1451</v>
      </c>
    </row>
    <row r="4" spans="1:8" x14ac:dyDescent="0.25">
      <c r="A4" s="18" t="s">
        <v>492</v>
      </c>
      <c r="B4">
        <v>65</v>
      </c>
      <c r="C4">
        <v>40.4</v>
      </c>
      <c r="D4">
        <f t="shared" si="0"/>
        <v>19.5</v>
      </c>
      <c r="E4">
        <f t="shared" si="1"/>
        <v>59.9</v>
      </c>
      <c r="F4">
        <f t="shared" si="2"/>
        <v>5.1000000000000014</v>
      </c>
      <c r="G4">
        <f t="shared" si="3"/>
        <v>7.8461538461538485</v>
      </c>
      <c r="H4" t="s">
        <v>1452</v>
      </c>
    </row>
    <row r="5" spans="1:8" x14ac:dyDescent="0.25">
      <c r="A5" s="18" t="s">
        <v>395</v>
      </c>
      <c r="B5">
        <v>160</v>
      </c>
      <c r="C5">
        <v>38.72</v>
      </c>
      <c r="D5">
        <f t="shared" si="0"/>
        <v>48</v>
      </c>
      <c r="E5">
        <f t="shared" si="1"/>
        <v>86.72</v>
      </c>
      <c r="F5">
        <f t="shared" si="2"/>
        <v>73.28</v>
      </c>
      <c r="G5">
        <f t="shared" si="3"/>
        <v>45.800000000000004</v>
      </c>
      <c r="H5" t="s">
        <v>1450</v>
      </c>
    </row>
    <row r="6" spans="1:8" x14ac:dyDescent="0.25">
      <c r="A6" s="18" t="s">
        <v>675</v>
      </c>
      <c r="B6">
        <v>80</v>
      </c>
      <c r="C6">
        <v>16.5</v>
      </c>
      <c r="D6">
        <f t="shared" si="0"/>
        <v>24</v>
      </c>
      <c r="E6">
        <f t="shared" si="1"/>
        <v>40.5</v>
      </c>
      <c r="F6">
        <f t="shared" si="2"/>
        <v>39.5</v>
      </c>
      <c r="G6">
        <f t="shared" si="3"/>
        <v>49.375</v>
      </c>
      <c r="H6" t="s">
        <v>1450</v>
      </c>
    </row>
    <row r="7" spans="1:8" x14ac:dyDescent="0.25">
      <c r="A7" s="18" t="s">
        <v>391</v>
      </c>
      <c r="B7">
        <v>150</v>
      </c>
      <c r="C7">
        <v>49.67</v>
      </c>
      <c r="D7">
        <f t="shared" si="0"/>
        <v>45</v>
      </c>
      <c r="E7">
        <f t="shared" si="1"/>
        <v>94.67</v>
      </c>
      <c r="F7">
        <f t="shared" si="2"/>
        <v>55.33</v>
      </c>
      <c r="G7">
        <f t="shared" si="3"/>
        <v>36.88666666666667</v>
      </c>
      <c r="H7" t="s">
        <v>1450</v>
      </c>
    </row>
    <row r="8" spans="1:8" x14ac:dyDescent="0.25">
      <c r="A8" s="18" t="s">
        <v>71</v>
      </c>
      <c r="B8">
        <v>65</v>
      </c>
      <c r="C8">
        <v>20.95</v>
      </c>
      <c r="D8">
        <f t="shared" si="0"/>
        <v>19.5</v>
      </c>
      <c r="E8">
        <f t="shared" si="1"/>
        <v>40.450000000000003</v>
      </c>
      <c r="F8">
        <f t="shared" si="2"/>
        <v>24.549999999999997</v>
      </c>
      <c r="G8">
        <f t="shared" si="3"/>
        <v>37.769230769230766</v>
      </c>
      <c r="H8" t="s">
        <v>1453</v>
      </c>
    </row>
    <row r="9" spans="1:8" x14ac:dyDescent="0.25">
      <c r="A9" s="18" t="s">
        <v>667</v>
      </c>
      <c r="B9">
        <v>80</v>
      </c>
      <c r="C9">
        <v>38.85</v>
      </c>
      <c r="D9">
        <f t="shared" si="0"/>
        <v>24</v>
      </c>
      <c r="E9">
        <f t="shared" si="1"/>
        <v>62.85</v>
      </c>
      <c r="F9">
        <f t="shared" si="2"/>
        <v>17.149999999999999</v>
      </c>
      <c r="G9">
        <f t="shared" si="3"/>
        <v>21.4375</v>
      </c>
      <c r="H9" t="s">
        <v>1452</v>
      </c>
    </row>
    <row r="10" spans="1:8" x14ac:dyDescent="0.25">
      <c r="A10" s="18" t="s">
        <v>488</v>
      </c>
      <c r="B10">
        <v>80</v>
      </c>
      <c r="C10">
        <v>29.77</v>
      </c>
      <c r="D10">
        <f t="shared" si="0"/>
        <v>24</v>
      </c>
      <c r="E10">
        <f t="shared" si="1"/>
        <v>53.769999999999996</v>
      </c>
      <c r="F10">
        <f t="shared" si="2"/>
        <v>26.230000000000004</v>
      </c>
      <c r="G10">
        <f t="shared" si="3"/>
        <v>32.787500000000001</v>
      </c>
      <c r="H10" t="s">
        <v>1452</v>
      </c>
    </row>
    <row r="11" spans="1:8" x14ac:dyDescent="0.25">
      <c r="A11" s="18" t="s">
        <v>789</v>
      </c>
      <c r="B11">
        <v>70</v>
      </c>
      <c r="C11">
        <v>15.43</v>
      </c>
      <c r="D11">
        <f t="shared" si="0"/>
        <v>21</v>
      </c>
      <c r="E11">
        <f t="shared" si="1"/>
        <v>36.43</v>
      </c>
      <c r="F11">
        <f t="shared" si="2"/>
        <v>33.57</v>
      </c>
      <c r="G11">
        <f t="shared" si="3"/>
        <v>47.957142857142863</v>
      </c>
      <c r="H11" t="s">
        <v>1453</v>
      </c>
    </row>
    <row r="12" spans="1:8" ht="34.5" customHeight="1" x14ac:dyDescent="0.25">
      <c r="A12" s="25" t="s">
        <v>614</v>
      </c>
      <c r="B12">
        <v>99</v>
      </c>
      <c r="C12">
        <v>38.14</v>
      </c>
      <c r="D12">
        <f t="shared" si="0"/>
        <v>29.7</v>
      </c>
      <c r="E12">
        <f t="shared" si="1"/>
        <v>67.84</v>
      </c>
      <c r="F12">
        <f t="shared" si="2"/>
        <v>31.159999999999997</v>
      </c>
      <c r="G12">
        <f t="shared" si="3"/>
        <v>31.47474747474747</v>
      </c>
      <c r="H12" t="s">
        <v>1450</v>
      </c>
    </row>
    <row r="13" spans="1:8" ht="45" x14ac:dyDescent="0.25">
      <c r="A13" s="25" t="s">
        <v>957</v>
      </c>
      <c r="B13">
        <v>179</v>
      </c>
      <c r="C13">
        <v>74.63</v>
      </c>
      <c r="D13">
        <f t="shared" si="0"/>
        <v>53.699999999999996</v>
      </c>
      <c r="E13">
        <f t="shared" si="1"/>
        <v>128.32999999999998</v>
      </c>
      <c r="F13">
        <f t="shared" si="2"/>
        <v>50.670000000000016</v>
      </c>
      <c r="G13">
        <f t="shared" si="3"/>
        <v>28.30726256983241</v>
      </c>
      <c r="H13" t="s">
        <v>1450</v>
      </c>
    </row>
    <row r="14" spans="1:8" ht="30" x14ac:dyDescent="0.25">
      <c r="A14" s="25" t="s">
        <v>658</v>
      </c>
      <c r="B14">
        <v>149</v>
      </c>
      <c r="C14">
        <v>59.43</v>
      </c>
      <c r="D14">
        <f t="shared" si="0"/>
        <v>44.699999999999996</v>
      </c>
      <c r="E14">
        <f t="shared" si="1"/>
        <v>104.13</v>
      </c>
      <c r="F14">
        <f t="shared" si="2"/>
        <v>44.870000000000005</v>
      </c>
      <c r="G14">
        <f t="shared" si="3"/>
        <v>30.114093959731548</v>
      </c>
      <c r="H14" t="s">
        <v>1450</v>
      </c>
    </row>
    <row r="15" spans="1:8" ht="30" x14ac:dyDescent="0.25">
      <c r="A15" s="25" t="s">
        <v>993</v>
      </c>
      <c r="B15">
        <v>99</v>
      </c>
      <c r="C15">
        <v>32.659999999999997</v>
      </c>
      <c r="D15">
        <f t="shared" si="0"/>
        <v>29.7</v>
      </c>
      <c r="E15">
        <f t="shared" si="1"/>
        <v>62.36</v>
      </c>
      <c r="F15">
        <f t="shared" si="2"/>
        <v>36.64</v>
      </c>
      <c r="G15">
        <f t="shared" si="3"/>
        <v>37.01010101010101</v>
      </c>
      <c r="H15" t="s">
        <v>1450</v>
      </c>
    </row>
    <row r="16" spans="1:8" ht="60" x14ac:dyDescent="0.25">
      <c r="A16" s="25" t="s">
        <v>937</v>
      </c>
      <c r="B16">
        <v>129</v>
      </c>
      <c r="C16">
        <v>57.2</v>
      </c>
      <c r="D16">
        <f t="shared" si="0"/>
        <v>38.699999999999996</v>
      </c>
      <c r="E16">
        <f t="shared" si="1"/>
        <v>95.9</v>
      </c>
      <c r="F16">
        <f t="shared" si="2"/>
        <v>33.099999999999994</v>
      </c>
      <c r="G16">
        <f t="shared" si="3"/>
        <v>25.658914728682163</v>
      </c>
      <c r="H16" t="s">
        <v>1450</v>
      </c>
    </row>
    <row r="17" spans="1:8" ht="48" customHeight="1" x14ac:dyDescent="0.25">
      <c r="A17" s="25" t="s">
        <v>1009</v>
      </c>
      <c r="B17">
        <v>79</v>
      </c>
      <c r="C17">
        <v>56.71</v>
      </c>
      <c r="D17">
        <f t="shared" si="0"/>
        <v>23.7</v>
      </c>
      <c r="E17">
        <f t="shared" si="1"/>
        <v>80.41</v>
      </c>
      <c r="F17">
        <f t="shared" si="2"/>
        <v>-1.4099999999999966</v>
      </c>
      <c r="G17">
        <f t="shared" si="3"/>
        <v>-1.784810126582274</v>
      </c>
      <c r="H17" t="s">
        <v>1450</v>
      </c>
    </row>
    <row r="18" spans="1:8" ht="50.25" customHeight="1" x14ac:dyDescent="0.25">
      <c r="A18" s="25" t="s">
        <v>988</v>
      </c>
      <c r="B18">
        <v>129</v>
      </c>
      <c r="C18">
        <v>48.5</v>
      </c>
      <c r="D18">
        <f t="shared" si="0"/>
        <v>38.699999999999996</v>
      </c>
      <c r="E18">
        <f t="shared" si="1"/>
        <v>87.199999999999989</v>
      </c>
      <c r="F18">
        <f t="shared" si="2"/>
        <v>41.800000000000011</v>
      </c>
      <c r="G18">
        <f t="shared" si="3"/>
        <v>32.403100775193806</v>
      </c>
      <c r="H18" t="s">
        <v>1450</v>
      </c>
    </row>
    <row r="19" spans="1:8" ht="30" x14ac:dyDescent="0.25">
      <c r="A19" s="25" t="s">
        <v>820</v>
      </c>
      <c r="B19">
        <v>99</v>
      </c>
      <c r="C19">
        <v>35.61</v>
      </c>
      <c r="D19">
        <f t="shared" si="0"/>
        <v>29.7</v>
      </c>
      <c r="E19">
        <f t="shared" si="1"/>
        <v>65.31</v>
      </c>
      <c r="F19">
        <f t="shared" si="2"/>
        <v>33.69</v>
      </c>
      <c r="G19">
        <f t="shared" si="3"/>
        <v>34.030303030303024</v>
      </c>
      <c r="H19" t="s">
        <v>1450</v>
      </c>
    </row>
    <row r="20" spans="1:8" ht="30" x14ac:dyDescent="0.25">
      <c r="A20" s="25" t="s">
        <v>903</v>
      </c>
      <c r="B20">
        <v>129</v>
      </c>
      <c r="C20">
        <v>45.12</v>
      </c>
      <c r="D20">
        <f t="shared" si="0"/>
        <v>38.699999999999996</v>
      </c>
      <c r="E20">
        <f t="shared" si="1"/>
        <v>83.82</v>
      </c>
      <c r="F20">
        <f t="shared" si="2"/>
        <v>45.180000000000007</v>
      </c>
      <c r="G20">
        <f t="shared" si="3"/>
        <v>35.02325581395349</v>
      </c>
      <c r="H20" t="s">
        <v>1450</v>
      </c>
    </row>
    <row r="21" spans="1:8" ht="48.75" customHeight="1" x14ac:dyDescent="0.25">
      <c r="A21" s="25" t="s">
        <v>952</v>
      </c>
      <c r="B21">
        <v>99</v>
      </c>
      <c r="C21">
        <v>34.9</v>
      </c>
      <c r="D21">
        <f t="shared" si="0"/>
        <v>29.7</v>
      </c>
      <c r="E21">
        <f t="shared" si="1"/>
        <v>64.599999999999994</v>
      </c>
      <c r="F21">
        <f t="shared" si="2"/>
        <v>34.400000000000006</v>
      </c>
      <c r="G21">
        <f t="shared" si="3"/>
        <v>34.747474747474755</v>
      </c>
      <c r="H21" t="s">
        <v>1450</v>
      </c>
    </row>
  </sheetData>
  <pageMargins left="0.7" right="0.7" top="0.75" bottom="0.75" header="0.3" footer="0.3"/>
  <ignoredErrors>
    <ignoredError sqref="H11" calculatedColumn="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E1FA-6378-4D75-88AF-80E97C9E8E2F}">
  <dimension ref="A1:D87"/>
  <sheetViews>
    <sheetView topLeftCell="A37" workbookViewId="0">
      <selection activeCell="B88" sqref="B88"/>
    </sheetView>
  </sheetViews>
  <sheetFormatPr defaultRowHeight="15" x14ac:dyDescent="0.25"/>
  <cols>
    <col min="1" max="1" width="33.85546875" customWidth="1"/>
    <col min="2" max="2" width="19.7109375" customWidth="1"/>
    <col min="3" max="3" width="22.5703125" customWidth="1"/>
    <col min="4" max="4" width="13.42578125" bestFit="1" customWidth="1"/>
  </cols>
  <sheetData>
    <row r="1" spans="1:4" x14ac:dyDescent="0.25">
      <c r="A1" t="s">
        <v>505</v>
      </c>
      <c r="B1" t="s">
        <v>506</v>
      </c>
      <c r="C1" t="s">
        <v>507</v>
      </c>
      <c r="D1" t="s">
        <v>508</v>
      </c>
    </row>
    <row r="2" spans="1:4" x14ac:dyDescent="0.25">
      <c r="A2" t="s">
        <v>509</v>
      </c>
      <c r="B2">
        <v>55</v>
      </c>
      <c r="C2">
        <v>60</v>
      </c>
      <c r="D2" s="10">
        <f t="shared" ref="D2:D65" si="0">((C2-B2)/B2)</f>
        <v>9.0909090909090912E-2</v>
      </c>
    </row>
    <row r="3" spans="1:4" x14ac:dyDescent="0.25">
      <c r="A3" t="s">
        <v>510</v>
      </c>
      <c r="B3">
        <v>115</v>
      </c>
      <c r="C3">
        <v>125</v>
      </c>
      <c r="D3" s="10">
        <f t="shared" si="0"/>
        <v>8.6956521739130432E-2</v>
      </c>
    </row>
    <row r="4" spans="1:4" x14ac:dyDescent="0.25">
      <c r="A4" t="s">
        <v>511</v>
      </c>
      <c r="B4">
        <v>115</v>
      </c>
      <c r="C4">
        <v>130</v>
      </c>
      <c r="D4" s="10">
        <f t="shared" si="0"/>
        <v>0.13043478260869565</v>
      </c>
    </row>
    <row r="5" spans="1:4" x14ac:dyDescent="0.25">
      <c r="A5" t="s">
        <v>512</v>
      </c>
      <c r="B5">
        <v>270</v>
      </c>
      <c r="C5">
        <v>300</v>
      </c>
      <c r="D5" s="10">
        <f t="shared" si="0"/>
        <v>0.1111111111111111</v>
      </c>
    </row>
    <row r="6" spans="1:4" x14ac:dyDescent="0.25">
      <c r="A6" t="s">
        <v>513</v>
      </c>
      <c r="B6">
        <v>180</v>
      </c>
      <c r="C6">
        <v>220</v>
      </c>
      <c r="D6" s="10">
        <f t="shared" si="0"/>
        <v>0.22222222222222221</v>
      </c>
    </row>
    <row r="7" spans="1:4" x14ac:dyDescent="0.25">
      <c r="A7" t="s">
        <v>514</v>
      </c>
      <c r="B7">
        <v>130</v>
      </c>
      <c r="C7">
        <v>146</v>
      </c>
      <c r="D7" s="10">
        <f t="shared" si="0"/>
        <v>0.12307692307692308</v>
      </c>
    </row>
    <row r="8" spans="1:4" x14ac:dyDescent="0.25">
      <c r="A8" t="s">
        <v>515</v>
      </c>
      <c r="B8">
        <v>105</v>
      </c>
      <c r="C8">
        <v>117</v>
      </c>
      <c r="D8" s="10">
        <f t="shared" si="0"/>
        <v>0.11428571428571428</v>
      </c>
    </row>
    <row r="9" spans="1:4" x14ac:dyDescent="0.25">
      <c r="A9" t="s">
        <v>516</v>
      </c>
      <c r="B9">
        <v>120</v>
      </c>
      <c r="C9">
        <v>136</v>
      </c>
      <c r="D9" s="10">
        <f t="shared" si="0"/>
        <v>0.13333333333333333</v>
      </c>
    </row>
    <row r="10" spans="1:4" x14ac:dyDescent="0.25">
      <c r="A10" t="s">
        <v>517</v>
      </c>
      <c r="B10">
        <v>70</v>
      </c>
      <c r="C10">
        <v>77</v>
      </c>
      <c r="D10" s="10">
        <f t="shared" si="0"/>
        <v>0.1</v>
      </c>
    </row>
    <row r="11" spans="1:4" x14ac:dyDescent="0.25">
      <c r="A11" t="s">
        <v>518</v>
      </c>
      <c r="B11">
        <v>70</v>
      </c>
      <c r="C11">
        <v>76</v>
      </c>
      <c r="D11" s="10">
        <f t="shared" si="0"/>
        <v>8.5714285714285715E-2</v>
      </c>
    </row>
    <row r="12" spans="1:4" x14ac:dyDescent="0.25">
      <c r="A12" t="s">
        <v>519</v>
      </c>
      <c r="B12">
        <v>110</v>
      </c>
      <c r="C12">
        <v>112</v>
      </c>
      <c r="D12" s="10">
        <f t="shared" si="0"/>
        <v>1.8181818181818181E-2</v>
      </c>
    </row>
    <row r="13" spans="1:4" x14ac:dyDescent="0.25">
      <c r="A13" t="s">
        <v>520</v>
      </c>
      <c r="B13">
        <v>50</v>
      </c>
      <c r="C13">
        <v>50</v>
      </c>
      <c r="D13" s="10">
        <f t="shared" si="0"/>
        <v>0</v>
      </c>
    </row>
    <row r="14" spans="1:4" x14ac:dyDescent="0.25">
      <c r="A14" t="s">
        <v>521</v>
      </c>
      <c r="B14">
        <v>30</v>
      </c>
      <c r="C14">
        <v>37</v>
      </c>
      <c r="D14" s="10">
        <f t="shared" si="0"/>
        <v>0.23333333333333334</v>
      </c>
    </row>
    <row r="15" spans="1:4" x14ac:dyDescent="0.25">
      <c r="A15" t="s">
        <v>522</v>
      </c>
      <c r="B15">
        <v>30</v>
      </c>
      <c r="C15">
        <v>50</v>
      </c>
      <c r="D15" s="10">
        <f t="shared" si="0"/>
        <v>0.66666666666666663</v>
      </c>
    </row>
    <row r="16" spans="1:4" x14ac:dyDescent="0.25">
      <c r="A16" t="s">
        <v>523</v>
      </c>
      <c r="B16">
        <v>35</v>
      </c>
      <c r="C16">
        <v>40</v>
      </c>
      <c r="D16" s="10">
        <f t="shared" si="0"/>
        <v>0.14285714285714285</v>
      </c>
    </row>
    <row r="17" spans="1:4" x14ac:dyDescent="0.25">
      <c r="A17" t="s">
        <v>524</v>
      </c>
      <c r="B17">
        <v>25</v>
      </c>
      <c r="C17">
        <v>60</v>
      </c>
      <c r="D17" s="10">
        <f t="shared" si="0"/>
        <v>1.4</v>
      </c>
    </row>
    <row r="18" spans="1:4" x14ac:dyDescent="0.25">
      <c r="A18" t="s">
        <v>525</v>
      </c>
      <c r="B18">
        <v>15</v>
      </c>
      <c r="C18">
        <v>27</v>
      </c>
      <c r="D18" s="10">
        <f t="shared" si="0"/>
        <v>0.8</v>
      </c>
    </row>
    <row r="19" spans="1:4" x14ac:dyDescent="0.25">
      <c r="A19" t="s">
        <v>526</v>
      </c>
      <c r="B19">
        <v>80</v>
      </c>
      <c r="C19">
        <v>110</v>
      </c>
      <c r="D19" s="10">
        <f t="shared" si="0"/>
        <v>0.375</v>
      </c>
    </row>
    <row r="20" spans="1:4" x14ac:dyDescent="0.25">
      <c r="A20" t="s">
        <v>527</v>
      </c>
      <c r="B20">
        <v>80</v>
      </c>
      <c r="C20">
        <v>120</v>
      </c>
      <c r="D20" s="10">
        <f t="shared" si="0"/>
        <v>0.5</v>
      </c>
    </row>
    <row r="21" spans="1:4" x14ac:dyDescent="0.25">
      <c r="A21" t="s">
        <v>528</v>
      </c>
      <c r="B21">
        <v>30</v>
      </c>
      <c r="C21">
        <v>50</v>
      </c>
      <c r="D21" s="10">
        <f t="shared" si="0"/>
        <v>0.66666666666666663</v>
      </c>
    </row>
    <row r="22" spans="1:4" x14ac:dyDescent="0.25">
      <c r="A22" t="s">
        <v>529</v>
      </c>
      <c r="B22">
        <v>40</v>
      </c>
      <c r="C22">
        <f>23*4</f>
        <v>92</v>
      </c>
      <c r="D22" s="10">
        <f t="shared" si="0"/>
        <v>1.3</v>
      </c>
    </row>
    <row r="23" spans="1:4" x14ac:dyDescent="0.25">
      <c r="A23" t="s">
        <v>530</v>
      </c>
      <c r="B23">
        <v>40</v>
      </c>
      <c r="C23">
        <v>105</v>
      </c>
      <c r="D23" s="10">
        <f t="shared" si="0"/>
        <v>1.625</v>
      </c>
    </row>
    <row r="24" spans="1:4" x14ac:dyDescent="0.25">
      <c r="A24" t="s">
        <v>531</v>
      </c>
      <c r="B24">
        <v>40</v>
      </c>
      <c r="C24">
        <v>50</v>
      </c>
      <c r="D24" s="10">
        <f t="shared" si="0"/>
        <v>0.25</v>
      </c>
    </row>
    <row r="25" spans="1:4" x14ac:dyDescent="0.25">
      <c r="A25" t="s">
        <v>532</v>
      </c>
      <c r="B25">
        <v>10</v>
      </c>
      <c r="C25">
        <v>18</v>
      </c>
      <c r="D25" s="10">
        <f t="shared" si="0"/>
        <v>0.8</v>
      </c>
    </row>
    <row r="26" spans="1:4" x14ac:dyDescent="0.25">
      <c r="A26" t="s">
        <v>533</v>
      </c>
      <c r="B26">
        <v>40</v>
      </c>
      <c r="C26">
        <v>45</v>
      </c>
      <c r="D26" s="10">
        <f t="shared" si="0"/>
        <v>0.125</v>
      </c>
    </row>
    <row r="27" spans="1:4" x14ac:dyDescent="0.25">
      <c r="A27" t="s">
        <v>534</v>
      </c>
      <c r="B27">
        <f>(25/250)*100</f>
        <v>10</v>
      </c>
      <c r="C27">
        <v>15</v>
      </c>
      <c r="D27" s="10">
        <f t="shared" si="0"/>
        <v>0.5</v>
      </c>
    </row>
    <row r="28" spans="1:4" x14ac:dyDescent="0.25">
      <c r="A28" t="s">
        <v>535</v>
      </c>
      <c r="B28">
        <v>20</v>
      </c>
      <c r="C28">
        <v>20</v>
      </c>
      <c r="D28" s="10">
        <f t="shared" si="0"/>
        <v>0</v>
      </c>
    </row>
    <row r="29" spans="1:4" x14ac:dyDescent="0.25">
      <c r="A29" t="s">
        <v>536</v>
      </c>
      <c r="B29">
        <v>10</v>
      </c>
      <c r="C29">
        <v>16</v>
      </c>
      <c r="D29" s="10">
        <f t="shared" si="0"/>
        <v>0.6</v>
      </c>
    </row>
    <row r="30" spans="1:4" x14ac:dyDescent="0.25">
      <c r="A30" t="s">
        <v>537</v>
      </c>
      <c r="B30">
        <v>10</v>
      </c>
      <c r="C30">
        <v>14</v>
      </c>
      <c r="D30" s="10">
        <f t="shared" si="0"/>
        <v>0.4</v>
      </c>
    </row>
    <row r="31" spans="1:4" x14ac:dyDescent="0.25">
      <c r="A31" t="s">
        <v>538</v>
      </c>
      <c r="B31">
        <v>40</v>
      </c>
      <c r="C31">
        <v>50</v>
      </c>
      <c r="D31" s="10">
        <f t="shared" si="0"/>
        <v>0.25</v>
      </c>
    </row>
    <row r="32" spans="1:4" x14ac:dyDescent="0.25">
      <c r="A32" t="s">
        <v>539</v>
      </c>
      <c r="B32">
        <v>30</v>
      </c>
      <c r="C32">
        <v>45</v>
      </c>
      <c r="D32" s="10">
        <f t="shared" si="0"/>
        <v>0.5</v>
      </c>
    </row>
    <row r="33" spans="1:4" x14ac:dyDescent="0.25">
      <c r="A33" t="s">
        <v>540</v>
      </c>
      <c r="B33">
        <v>40</v>
      </c>
      <c r="C33">
        <f>22*2</f>
        <v>44</v>
      </c>
      <c r="D33" s="10">
        <f t="shared" si="0"/>
        <v>0.1</v>
      </c>
    </row>
    <row r="34" spans="1:4" x14ac:dyDescent="0.25">
      <c r="A34" t="s">
        <v>541</v>
      </c>
      <c r="B34">
        <v>20</v>
      </c>
      <c r="C34">
        <v>30</v>
      </c>
      <c r="D34" s="10">
        <f t="shared" si="0"/>
        <v>0.5</v>
      </c>
    </row>
    <row r="35" spans="1:4" x14ac:dyDescent="0.25">
      <c r="A35" t="s">
        <v>542</v>
      </c>
      <c r="B35">
        <v>60</v>
      </c>
      <c r="C35">
        <v>96</v>
      </c>
      <c r="D35" s="10">
        <f t="shared" si="0"/>
        <v>0.6</v>
      </c>
    </row>
    <row r="36" spans="1:4" x14ac:dyDescent="0.25">
      <c r="A36" t="s">
        <v>543</v>
      </c>
      <c r="B36">
        <v>70</v>
      </c>
      <c r="C36">
        <v>140</v>
      </c>
      <c r="D36" s="10">
        <f t="shared" si="0"/>
        <v>1</v>
      </c>
    </row>
    <row r="37" spans="1:4" x14ac:dyDescent="0.25">
      <c r="A37" t="s">
        <v>544</v>
      </c>
      <c r="B37">
        <v>110</v>
      </c>
      <c r="C37">
        <f>34*5</f>
        <v>170</v>
      </c>
      <c r="D37" s="10">
        <f t="shared" si="0"/>
        <v>0.54545454545454541</v>
      </c>
    </row>
    <row r="38" spans="1:4" x14ac:dyDescent="0.25">
      <c r="A38" t="s">
        <v>545</v>
      </c>
      <c r="B38">
        <v>150</v>
      </c>
      <c r="C38">
        <f>44*5</f>
        <v>220</v>
      </c>
      <c r="D38" s="10">
        <f t="shared" si="0"/>
        <v>0.46666666666666667</v>
      </c>
    </row>
    <row r="39" spans="1:4" x14ac:dyDescent="0.25">
      <c r="A39" t="s">
        <v>546</v>
      </c>
      <c r="B39">
        <v>200</v>
      </c>
      <c r="C39">
        <v>360</v>
      </c>
      <c r="D39" s="10">
        <f t="shared" si="0"/>
        <v>0.8</v>
      </c>
    </row>
    <row r="40" spans="1:4" x14ac:dyDescent="0.25">
      <c r="A40" t="s">
        <v>547</v>
      </c>
      <c r="B40">
        <v>6</v>
      </c>
      <c r="C40">
        <v>14</v>
      </c>
      <c r="D40" s="10">
        <f t="shared" si="0"/>
        <v>1.3333333333333333</v>
      </c>
    </row>
    <row r="41" spans="1:4" x14ac:dyDescent="0.25">
      <c r="A41" t="s">
        <v>548</v>
      </c>
      <c r="B41">
        <v>900</v>
      </c>
      <c r="C41">
        <f>(330/300)*1000</f>
        <v>1100</v>
      </c>
      <c r="D41" s="10">
        <f t="shared" si="0"/>
        <v>0.22222222222222221</v>
      </c>
    </row>
    <row r="42" spans="1:4" x14ac:dyDescent="0.25">
      <c r="A42" t="s">
        <v>549</v>
      </c>
      <c r="B42">
        <v>200</v>
      </c>
      <c r="C42">
        <v>500</v>
      </c>
      <c r="D42" s="10">
        <f t="shared" si="0"/>
        <v>1.5</v>
      </c>
    </row>
    <row r="43" spans="1:4" x14ac:dyDescent="0.25">
      <c r="A43" t="s">
        <v>550</v>
      </c>
      <c r="B43">
        <v>150</v>
      </c>
      <c r="C43">
        <v>200</v>
      </c>
      <c r="D43" s="10">
        <f t="shared" si="0"/>
        <v>0.33333333333333331</v>
      </c>
    </row>
    <row r="44" spans="1:4" x14ac:dyDescent="0.25">
      <c r="A44" t="s">
        <v>551</v>
      </c>
      <c r="B44">
        <v>200</v>
      </c>
      <c r="C44">
        <v>300</v>
      </c>
      <c r="D44" s="10">
        <f t="shared" si="0"/>
        <v>0.5</v>
      </c>
    </row>
    <row r="45" spans="1:4" x14ac:dyDescent="0.25">
      <c r="A45" t="s">
        <v>552</v>
      </c>
      <c r="B45">
        <v>330</v>
      </c>
      <c r="C45">
        <v>450</v>
      </c>
      <c r="D45" s="10">
        <f t="shared" si="0"/>
        <v>0.36363636363636365</v>
      </c>
    </row>
    <row r="46" spans="1:4" x14ac:dyDescent="0.25">
      <c r="A46" t="s">
        <v>553</v>
      </c>
      <c r="B46">
        <v>280</v>
      </c>
      <c r="C46">
        <v>400</v>
      </c>
      <c r="D46" s="10">
        <f t="shared" si="0"/>
        <v>0.42857142857142855</v>
      </c>
    </row>
    <row r="47" spans="1:4" x14ac:dyDescent="0.25">
      <c r="A47" t="s">
        <v>554</v>
      </c>
      <c r="B47">
        <v>300</v>
      </c>
      <c r="C47">
        <v>500</v>
      </c>
      <c r="D47" s="10">
        <f t="shared" si="0"/>
        <v>0.66666666666666663</v>
      </c>
    </row>
    <row r="48" spans="1:4" x14ac:dyDescent="0.25">
      <c r="A48" t="s">
        <v>555</v>
      </c>
      <c r="B48">
        <v>1000</v>
      </c>
      <c r="C48">
        <v>1200</v>
      </c>
      <c r="D48" s="10">
        <f t="shared" si="0"/>
        <v>0.2</v>
      </c>
    </row>
    <row r="49" spans="1:4" x14ac:dyDescent="0.25">
      <c r="A49" t="s">
        <v>556</v>
      </c>
      <c r="B49">
        <v>300</v>
      </c>
      <c r="C49">
        <v>350</v>
      </c>
      <c r="D49" s="10">
        <f t="shared" si="0"/>
        <v>0.16666666666666666</v>
      </c>
    </row>
    <row r="50" spans="1:4" x14ac:dyDescent="0.25">
      <c r="A50" t="s">
        <v>557</v>
      </c>
      <c r="B50">
        <v>140</v>
      </c>
      <c r="C50">
        <v>160</v>
      </c>
      <c r="D50" s="10">
        <f t="shared" si="0"/>
        <v>0.14285714285714285</v>
      </c>
    </row>
    <row r="51" spans="1:4" x14ac:dyDescent="0.25">
      <c r="A51" t="s">
        <v>558</v>
      </c>
      <c r="B51">
        <v>140</v>
      </c>
      <c r="C51">
        <v>150</v>
      </c>
      <c r="D51" s="10">
        <f t="shared" si="0"/>
        <v>7.1428571428571425E-2</v>
      </c>
    </row>
    <row r="52" spans="1:4" x14ac:dyDescent="0.25">
      <c r="A52" t="s">
        <v>559</v>
      </c>
      <c r="B52">
        <v>420</v>
      </c>
      <c r="C52">
        <v>440</v>
      </c>
      <c r="D52" s="10">
        <f t="shared" si="0"/>
        <v>4.7619047619047616E-2</v>
      </c>
    </row>
    <row r="53" spans="1:4" x14ac:dyDescent="0.25">
      <c r="A53" t="s">
        <v>560</v>
      </c>
      <c r="B53">
        <v>110</v>
      </c>
      <c r="C53">
        <v>118</v>
      </c>
      <c r="D53" s="10">
        <f t="shared" si="0"/>
        <v>7.2727272727272724E-2</v>
      </c>
    </row>
    <row r="54" spans="1:4" x14ac:dyDescent="0.25">
      <c r="A54" t="s">
        <v>561</v>
      </c>
      <c r="B54">
        <v>25</v>
      </c>
      <c r="C54">
        <v>26</v>
      </c>
      <c r="D54" s="10">
        <f t="shared" si="0"/>
        <v>0.04</v>
      </c>
    </row>
    <row r="55" spans="1:4" x14ac:dyDescent="0.25">
      <c r="A55" t="s">
        <v>562</v>
      </c>
      <c r="B55">
        <v>25</v>
      </c>
      <c r="C55">
        <v>28</v>
      </c>
      <c r="D55" s="10">
        <f t="shared" si="0"/>
        <v>0.12</v>
      </c>
    </row>
    <row r="56" spans="1:4" x14ac:dyDescent="0.25">
      <c r="A56" t="s">
        <v>563</v>
      </c>
      <c r="B56">
        <v>100</v>
      </c>
      <c r="C56">
        <v>105</v>
      </c>
      <c r="D56" s="10">
        <f t="shared" si="0"/>
        <v>0.05</v>
      </c>
    </row>
    <row r="57" spans="1:4" x14ac:dyDescent="0.25">
      <c r="A57" t="s">
        <v>564</v>
      </c>
      <c r="B57">
        <v>20</v>
      </c>
      <c r="C57">
        <v>21</v>
      </c>
      <c r="D57" s="10">
        <f t="shared" si="0"/>
        <v>0.05</v>
      </c>
    </row>
    <row r="58" spans="1:4" x14ac:dyDescent="0.25">
      <c r="A58" t="s">
        <v>565</v>
      </c>
      <c r="B58">
        <v>30</v>
      </c>
      <c r="C58">
        <v>33</v>
      </c>
      <c r="D58" s="10">
        <f t="shared" si="0"/>
        <v>0.1</v>
      </c>
    </row>
    <row r="59" spans="1:4" x14ac:dyDescent="0.25">
      <c r="A59" t="s">
        <v>566</v>
      </c>
      <c r="B59">
        <v>22</v>
      </c>
      <c r="C59">
        <v>25</v>
      </c>
      <c r="D59" s="10">
        <f t="shared" si="0"/>
        <v>0.13636363636363635</v>
      </c>
    </row>
    <row r="60" spans="1:4" x14ac:dyDescent="0.25">
      <c r="A60" t="s">
        <v>567</v>
      </c>
      <c r="B60">
        <v>45</v>
      </c>
      <c r="C60">
        <v>50</v>
      </c>
      <c r="D60" s="10">
        <f t="shared" si="0"/>
        <v>0.1111111111111111</v>
      </c>
    </row>
    <row r="61" spans="1:4" x14ac:dyDescent="0.25">
      <c r="A61" t="s">
        <v>568</v>
      </c>
      <c r="B61">
        <v>20</v>
      </c>
      <c r="C61">
        <v>28</v>
      </c>
      <c r="D61" s="10">
        <f t="shared" si="0"/>
        <v>0.4</v>
      </c>
    </row>
    <row r="62" spans="1:4" x14ac:dyDescent="0.25">
      <c r="A62" t="s">
        <v>569</v>
      </c>
      <c r="B62">
        <v>60</v>
      </c>
      <c r="C62">
        <v>80</v>
      </c>
      <c r="D62" s="10">
        <f t="shared" si="0"/>
        <v>0.33333333333333331</v>
      </c>
    </row>
    <row r="63" spans="1:4" x14ac:dyDescent="0.25">
      <c r="A63" t="s">
        <v>570</v>
      </c>
      <c r="B63">
        <v>55</v>
      </c>
      <c r="C63">
        <v>60</v>
      </c>
      <c r="D63" s="10">
        <f t="shared" si="0"/>
        <v>9.0909090909090912E-2</v>
      </c>
    </row>
    <row r="64" spans="1:4" x14ac:dyDescent="0.25">
      <c r="A64" t="s">
        <v>571</v>
      </c>
      <c r="B64">
        <v>50</v>
      </c>
      <c r="C64">
        <v>52</v>
      </c>
      <c r="D64" s="10">
        <f t="shared" si="0"/>
        <v>0.04</v>
      </c>
    </row>
    <row r="65" spans="1:4" x14ac:dyDescent="0.25">
      <c r="A65" t="s">
        <v>572</v>
      </c>
      <c r="B65">
        <v>75</v>
      </c>
      <c r="C65">
        <v>82</v>
      </c>
      <c r="D65" s="10">
        <f t="shared" si="0"/>
        <v>9.3333333333333338E-2</v>
      </c>
    </row>
    <row r="66" spans="1:4" x14ac:dyDescent="0.25">
      <c r="A66" t="s">
        <v>573</v>
      </c>
      <c r="B66">
        <v>45</v>
      </c>
      <c r="C66">
        <v>50</v>
      </c>
      <c r="D66" s="10">
        <f t="shared" ref="D66:D87" si="1">((C66-B66)/B66)</f>
        <v>0.1111111111111111</v>
      </c>
    </row>
    <row r="67" spans="1:4" x14ac:dyDescent="0.25">
      <c r="A67" t="s">
        <v>574</v>
      </c>
      <c r="B67">
        <v>70</v>
      </c>
      <c r="C67">
        <v>84</v>
      </c>
      <c r="D67" s="10">
        <f t="shared" si="1"/>
        <v>0.2</v>
      </c>
    </row>
    <row r="68" spans="1:4" x14ac:dyDescent="0.25">
      <c r="A68" t="s">
        <v>575</v>
      </c>
      <c r="B68">
        <v>150</v>
      </c>
      <c r="C68">
        <v>200</v>
      </c>
      <c r="D68" s="10">
        <f t="shared" si="1"/>
        <v>0.33333333333333331</v>
      </c>
    </row>
    <row r="69" spans="1:4" x14ac:dyDescent="0.25">
      <c r="A69" t="s">
        <v>576</v>
      </c>
      <c r="B69">
        <v>165</v>
      </c>
      <c r="C69">
        <v>250</v>
      </c>
      <c r="D69" s="10">
        <f t="shared" si="1"/>
        <v>0.51515151515151514</v>
      </c>
    </row>
    <row r="70" spans="1:4" x14ac:dyDescent="0.25">
      <c r="A70" t="s">
        <v>577</v>
      </c>
      <c r="B70">
        <v>100</v>
      </c>
      <c r="C70">
        <v>115</v>
      </c>
      <c r="D70" s="10">
        <f t="shared" si="1"/>
        <v>0.15</v>
      </c>
    </row>
    <row r="71" spans="1:4" x14ac:dyDescent="0.25">
      <c r="A71" t="s">
        <v>578</v>
      </c>
      <c r="B71">
        <v>80</v>
      </c>
      <c r="C71">
        <v>80</v>
      </c>
      <c r="D71" s="10">
        <f t="shared" si="1"/>
        <v>0</v>
      </c>
    </row>
    <row r="72" spans="1:4" x14ac:dyDescent="0.25">
      <c r="A72" t="s">
        <v>579</v>
      </c>
      <c r="B72">
        <v>650</v>
      </c>
      <c r="C72">
        <f>2*365</f>
        <v>730</v>
      </c>
      <c r="D72" s="10">
        <f t="shared" si="1"/>
        <v>0.12307692307692308</v>
      </c>
    </row>
    <row r="73" spans="1:4" x14ac:dyDescent="0.25">
      <c r="A73" t="s">
        <v>580</v>
      </c>
      <c r="B73">
        <v>50</v>
      </c>
      <c r="C73">
        <v>65</v>
      </c>
      <c r="D73" s="10">
        <f t="shared" si="1"/>
        <v>0.3</v>
      </c>
    </row>
    <row r="74" spans="1:4" x14ac:dyDescent="0.25">
      <c r="A74" t="s">
        <v>581</v>
      </c>
      <c r="B74">
        <v>400</v>
      </c>
      <c r="C74">
        <v>440</v>
      </c>
      <c r="D74" s="10">
        <f t="shared" si="1"/>
        <v>0.1</v>
      </c>
    </row>
    <row r="75" spans="1:4" x14ac:dyDescent="0.25">
      <c r="A75" t="s">
        <v>582</v>
      </c>
      <c r="B75">
        <v>90</v>
      </c>
      <c r="C75">
        <f>21*5</f>
        <v>105</v>
      </c>
      <c r="D75" s="10">
        <f t="shared" si="1"/>
        <v>0.16666666666666666</v>
      </c>
    </row>
    <row r="76" spans="1:4" x14ac:dyDescent="0.25">
      <c r="A76" t="s">
        <v>583</v>
      </c>
      <c r="B76">
        <v>160</v>
      </c>
      <c r="C76">
        <v>180</v>
      </c>
      <c r="D76" s="10">
        <f t="shared" si="1"/>
        <v>0.125</v>
      </c>
    </row>
    <row r="77" spans="1:4" x14ac:dyDescent="0.25">
      <c r="A77" t="s">
        <v>584</v>
      </c>
      <c r="B77">
        <v>40</v>
      </c>
      <c r="C77">
        <v>65</v>
      </c>
      <c r="D77" s="10">
        <f t="shared" si="1"/>
        <v>0.625</v>
      </c>
    </row>
    <row r="78" spans="1:4" x14ac:dyDescent="0.25">
      <c r="A78" t="s">
        <v>585</v>
      </c>
      <c r="B78">
        <v>750</v>
      </c>
      <c r="C78">
        <v>1000</v>
      </c>
      <c r="D78" s="10">
        <f t="shared" si="1"/>
        <v>0.33333333333333331</v>
      </c>
    </row>
    <row r="79" spans="1:4" x14ac:dyDescent="0.25">
      <c r="A79" t="s">
        <v>586</v>
      </c>
      <c r="B79">
        <v>600</v>
      </c>
      <c r="C79">
        <v>750</v>
      </c>
      <c r="D79" s="10">
        <f t="shared" si="1"/>
        <v>0.25</v>
      </c>
    </row>
    <row r="80" spans="1:4" x14ac:dyDescent="0.25">
      <c r="A80" t="s">
        <v>587</v>
      </c>
      <c r="B80">
        <v>150</v>
      </c>
      <c r="C80">
        <v>185</v>
      </c>
      <c r="D80" s="10">
        <f t="shared" si="1"/>
        <v>0.23333333333333334</v>
      </c>
    </row>
    <row r="81" spans="1:4" x14ac:dyDescent="0.25">
      <c r="A81" t="s">
        <v>588</v>
      </c>
      <c r="B81">
        <v>20</v>
      </c>
      <c r="C81">
        <v>35</v>
      </c>
      <c r="D81" s="10">
        <f t="shared" si="1"/>
        <v>0.75</v>
      </c>
    </row>
    <row r="82" spans="1:4" x14ac:dyDescent="0.25">
      <c r="A82" t="s">
        <v>589</v>
      </c>
      <c r="B82">
        <v>400</v>
      </c>
      <c r="C82">
        <v>460</v>
      </c>
      <c r="D82" s="10">
        <f t="shared" si="1"/>
        <v>0.15</v>
      </c>
    </row>
    <row r="83" spans="1:4" x14ac:dyDescent="0.25">
      <c r="A83" t="s">
        <v>590</v>
      </c>
      <c r="B83">
        <v>25</v>
      </c>
      <c r="C83">
        <v>30</v>
      </c>
      <c r="D83" s="10">
        <f t="shared" si="1"/>
        <v>0.2</v>
      </c>
    </row>
    <row r="84" spans="1:4" x14ac:dyDescent="0.25">
      <c r="A84" t="s">
        <v>591</v>
      </c>
      <c r="B84">
        <v>60</v>
      </c>
      <c r="C84">
        <v>100</v>
      </c>
      <c r="D84" s="10">
        <f t="shared" si="1"/>
        <v>0.66666666666666663</v>
      </c>
    </row>
    <row r="85" spans="1:4" x14ac:dyDescent="0.25">
      <c r="A85" t="s">
        <v>592</v>
      </c>
      <c r="B85">
        <v>150</v>
      </c>
      <c r="C85">
        <v>160</v>
      </c>
      <c r="D85" s="10">
        <f t="shared" si="1"/>
        <v>6.6666666666666666E-2</v>
      </c>
    </row>
    <row r="86" spans="1:4" x14ac:dyDescent="0.25">
      <c r="A86" t="s">
        <v>593</v>
      </c>
      <c r="B86">
        <v>120</v>
      </c>
      <c r="C86">
        <f>35*5</f>
        <v>175</v>
      </c>
      <c r="D86" s="10">
        <f t="shared" si="1"/>
        <v>0.45833333333333331</v>
      </c>
    </row>
    <row r="87" spans="1:4" x14ac:dyDescent="0.25">
      <c r="A87" t="s">
        <v>594</v>
      </c>
      <c r="B87">
        <v>400</v>
      </c>
      <c r="C87">
        <v>600</v>
      </c>
      <c r="D87" s="10">
        <f t="shared" si="1"/>
        <v>0.5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B9EB-94E2-40F0-9AEC-D98DAD62A1DF}">
  <dimension ref="A1:E16"/>
  <sheetViews>
    <sheetView workbookViewId="0">
      <selection activeCell="E4" sqref="E4"/>
    </sheetView>
  </sheetViews>
  <sheetFormatPr defaultRowHeight="15" x14ac:dyDescent="0.25"/>
  <cols>
    <col min="1" max="1" width="11.7109375" customWidth="1"/>
    <col min="2" max="2" width="16" customWidth="1"/>
    <col min="3" max="3" width="27.28515625" customWidth="1"/>
    <col min="4" max="4" width="12.5703125" customWidth="1"/>
    <col min="5" max="5" width="42.85546875" customWidth="1"/>
  </cols>
  <sheetData>
    <row r="1" spans="1:5" x14ac:dyDescent="0.25">
      <c r="A1" t="s">
        <v>687</v>
      </c>
      <c r="B1" t="s">
        <v>836</v>
      </c>
      <c r="C1" t="s">
        <v>837</v>
      </c>
      <c r="D1" t="s">
        <v>838</v>
      </c>
      <c r="E1" t="s">
        <v>839</v>
      </c>
    </row>
    <row r="2" spans="1:5" x14ac:dyDescent="0.25">
      <c r="A2" t="s">
        <v>840</v>
      </c>
      <c r="B2" t="s">
        <v>841</v>
      </c>
      <c r="C2" t="s">
        <v>703</v>
      </c>
      <c r="D2" t="s">
        <v>842</v>
      </c>
      <c r="E2" t="s">
        <v>843</v>
      </c>
    </row>
    <row r="3" spans="1:5" x14ac:dyDescent="0.25">
      <c r="A3" t="s">
        <v>844</v>
      </c>
      <c r="B3" t="s">
        <v>845</v>
      </c>
      <c r="C3" t="s">
        <v>846</v>
      </c>
      <c r="D3" t="s">
        <v>14</v>
      </c>
      <c r="E3" t="s">
        <v>847</v>
      </c>
    </row>
    <row r="4" spans="1:5" x14ac:dyDescent="0.25">
      <c r="A4" t="s">
        <v>848</v>
      </c>
      <c r="B4" t="s">
        <v>849</v>
      </c>
      <c r="C4" t="s">
        <v>850</v>
      </c>
      <c r="D4" t="s">
        <v>14</v>
      </c>
      <c r="E4" t="s">
        <v>851</v>
      </c>
    </row>
    <row r="5" spans="1:5" x14ac:dyDescent="0.25">
      <c r="A5" t="s">
        <v>852</v>
      </c>
      <c r="B5" t="s">
        <v>853</v>
      </c>
      <c r="C5" t="s">
        <v>854</v>
      </c>
      <c r="D5" t="s">
        <v>14</v>
      </c>
      <c r="E5" t="s">
        <v>855</v>
      </c>
    </row>
    <row r="6" spans="1:5" x14ac:dyDescent="0.25">
      <c r="A6" t="s">
        <v>856</v>
      </c>
      <c r="B6" t="s">
        <v>841</v>
      </c>
      <c r="C6" t="s">
        <v>703</v>
      </c>
      <c r="D6" t="s">
        <v>842</v>
      </c>
      <c r="E6" t="s">
        <v>843</v>
      </c>
    </row>
    <row r="7" spans="1:5" x14ac:dyDescent="0.25">
      <c r="A7" t="s">
        <v>857</v>
      </c>
      <c r="B7" t="s">
        <v>841</v>
      </c>
      <c r="C7" t="s">
        <v>724</v>
      </c>
      <c r="D7" t="s">
        <v>842</v>
      </c>
      <c r="E7" t="s">
        <v>858</v>
      </c>
    </row>
    <row r="8" spans="1:5" x14ac:dyDescent="0.25">
      <c r="A8" t="s">
        <v>859</v>
      </c>
      <c r="B8" t="s">
        <v>853</v>
      </c>
      <c r="C8" t="s">
        <v>860</v>
      </c>
      <c r="D8" t="s">
        <v>861</v>
      </c>
      <c r="E8" t="s">
        <v>862</v>
      </c>
    </row>
    <row r="9" spans="1:5" x14ac:dyDescent="0.25">
      <c r="A9" t="s">
        <v>863</v>
      </c>
      <c r="B9" t="s">
        <v>849</v>
      </c>
      <c r="C9" t="s">
        <v>864</v>
      </c>
      <c r="D9" t="s">
        <v>14</v>
      </c>
      <c r="E9" t="s">
        <v>865</v>
      </c>
    </row>
    <row r="10" spans="1:5" x14ac:dyDescent="0.25">
      <c r="A10" t="s">
        <v>866</v>
      </c>
      <c r="B10" t="s">
        <v>841</v>
      </c>
      <c r="C10" t="s">
        <v>703</v>
      </c>
      <c r="D10" t="s">
        <v>842</v>
      </c>
      <c r="E10" t="s">
        <v>843</v>
      </c>
    </row>
    <row r="11" spans="1:5" x14ac:dyDescent="0.25">
      <c r="A11" t="s">
        <v>867</v>
      </c>
      <c r="B11" t="s">
        <v>841</v>
      </c>
      <c r="C11" t="s">
        <v>724</v>
      </c>
      <c r="D11" t="s">
        <v>842</v>
      </c>
      <c r="E11" t="s">
        <v>858</v>
      </c>
    </row>
    <row r="12" spans="1:5" x14ac:dyDescent="0.25">
      <c r="A12" t="s">
        <v>868</v>
      </c>
      <c r="B12" t="s">
        <v>853</v>
      </c>
      <c r="C12" t="s">
        <v>869</v>
      </c>
      <c r="D12" t="s">
        <v>870</v>
      </c>
      <c r="E12" t="s">
        <v>871</v>
      </c>
    </row>
    <row r="13" spans="1:5" x14ac:dyDescent="0.25">
      <c r="A13" t="s">
        <v>872</v>
      </c>
      <c r="B13" t="s">
        <v>841</v>
      </c>
      <c r="C13" t="s">
        <v>703</v>
      </c>
      <c r="D13" t="s">
        <v>842</v>
      </c>
      <c r="E13" t="s">
        <v>843</v>
      </c>
    </row>
    <row r="14" spans="1:5" x14ac:dyDescent="0.25">
      <c r="A14" t="s">
        <v>873</v>
      </c>
      <c r="B14" t="s">
        <v>841</v>
      </c>
      <c r="C14" t="s">
        <v>724</v>
      </c>
      <c r="D14" t="s">
        <v>842</v>
      </c>
      <c r="E14" t="s">
        <v>858</v>
      </c>
    </row>
    <row r="15" spans="1:5" x14ac:dyDescent="0.25">
      <c r="A15" t="s">
        <v>874</v>
      </c>
      <c r="B15" t="s">
        <v>853</v>
      </c>
      <c r="C15" t="s">
        <v>875</v>
      </c>
      <c r="D15" t="s">
        <v>14</v>
      </c>
      <c r="E15" t="s">
        <v>876</v>
      </c>
    </row>
    <row r="16" spans="1:5" x14ac:dyDescent="0.25">
      <c r="A16" s="8">
        <v>45778</v>
      </c>
      <c r="B16" t="s">
        <v>849</v>
      </c>
      <c r="C16" t="s">
        <v>1350</v>
      </c>
      <c r="D16" t="s">
        <v>14</v>
      </c>
      <c r="E16" t="s">
        <v>1351</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3B6A4-BC62-453B-9094-81AAA3B32A92}">
  <dimension ref="A1:E120"/>
  <sheetViews>
    <sheetView workbookViewId="0">
      <selection activeCell="I5" sqref="I5"/>
    </sheetView>
  </sheetViews>
  <sheetFormatPr defaultRowHeight="15" x14ac:dyDescent="0.25"/>
  <cols>
    <col min="1" max="1" width="37" customWidth="1"/>
    <col min="2" max="2" width="20" customWidth="1"/>
    <col min="3" max="3" width="17.42578125" customWidth="1"/>
    <col min="4" max="4" width="15.7109375" customWidth="1"/>
    <col min="5" max="5" width="11.85546875" customWidth="1"/>
  </cols>
  <sheetData>
    <row r="1" spans="1:5" x14ac:dyDescent="0.25">
      <c r="A1" t="s">
        <v>1</v>
      </c>
      <c r="B1" t="s">
        <v>21</v>
      </c>
      <c r="C1" t="s">
        <v>10</v>
      </c>
      <c r="D1" t="s">
        <v>499</v>
      </c>
      <c r="E1" t="s">
        <v>18</v>
      </c>
    </row>
    <row r="2" spans="1:5" x14ac:dyDescent="0.25">
      <c r="A2" t="s">
        <v>9</v>
      </c>
      <c r="B2" t="str">
        <f>IF(COUNTIFS('Menu Details'!$B:$B,$A2,'Menu Details'!$C:$C,"Breakfast")&gt;0,"✓","")</f>
        <v/>
      </c>
      <c r="C2" t="str">
        <f>IF(COUNTIFS('Menu Details'!$B:$B,$A2,'Menu Details'!$C:$C,"Lunch")&gt;0,"✓","")</f>
        <v>✓</v>
      </c>
      <c r="D2" t="str">
        <f>IF(COUNTIFS('Menu Details'!$B:$B,$A2,'Menu Details'!$C:$C,"Snacks")&gt;0,"✓","")</f>
        <v/>
      </c>
      <c r="E2" t="str">
        <f>IF(COUNTIFS('Menu Details'!$B:$B,$A2,'Menu Details'!$C:$C,"Dinner")&gt;0,"✓","")</f>
        <v/>
      </c>
    </row>
    <row r="3" spans="1:5" x14ac:dyDescent="0.25">
      <c r="A3" t="s">
        <v>15</v>
      </c>
      <c r="B3" t="str">
        <f>IF(COUNTIFS('Menu Details'!$B:$B,$A3,'Menu Details'!$C:$C,"Breakfast")&gt;0,"✓","")</f>
        <v/>
      </c>
      <c r="C3" t="str">
        <f>IF(COUNTIFS('Menu Details'!$B:$B,$A3,'Menu Details'!$C:$C,"Lunch")&gt;0,"✓","")</f>
        <v>✓</v>
      </c>
      <c r="D3" t="str">
        <f>IF(COUNTIFS('Menu Details'!$B:$B,$A3,'Menu Details'!$C:$C,"Snacks")&gt;0,"✓","")</f>
        <v/>
      </c>
      <c r="E3" t="str">
        <f>IF(COUNTIFS('Menu Details'!$B:$B,$A3,'Menu Details'!$C:$C,"Dinner")&gt;0,"✓","")</f>
        <v/>
      </c>
    </row>
    <row r="4" spans="1:5" x14ac:dyDescent="0.25">
      <c r="A4" t="s">
        <v>17</v>
      </c>
      <c r="B4" t="str">
        <f>IF(COUNTIFS('Menu Details'!$B:$B,$A4,'Menu Details'!$C:$C,"Breakfast")&gt;0,"✓","")</f>
        <v>✓</v>
      </c>
      <c r="C4" t="str">
        <f>IF(COUNTIFS('Menu Details'!$B:$B,$A4,'Menu Details'!$C:$C,"Lunch")&gt;0,"✓","")</f>
        <v/>
      </c>
      <c r="D4" t="str">
        <f>IF(COUNTIFS('Menu Details'!$B:$B,$A4,'Menu Details'!$C:$C,"Snacks")&gt;0,"✓","")</f>
        <v>✓</v>
      </c>
      <c r="E4" t="str">
        <f>IF(COUNTIFS('Menu Details'!$B:$B,$A4,'Menu Details'!$C:$C,"Dinner")&gt;0,"✓","")</f>
        <v>✓</v>
      </c>
    </row>
    <row r="5" spans="1:5" x14ac:dyDescent="0.25">
      <c r="A5" t="s">
        <v>23</v>
      </c>
      <c r="B5" t="str">
        <f>IF(COUNTIFS('Menu Details'!$B:$B,$A5,'Menu Details'!$C:$C,"Breakfast")&gt;0,"✓","")</f>
        <v>✓</v>
      </c>
      <c r="C5" t="str">
        <f>IF(COUNTIFS('Menu Details'!$B:$B,$A5,'Menu Details'!$C:$C,"Lunch")&gt;0,"✓","")</f>
        <v/>
      </c>
      <c r="D5" t="str">
        <f>IF(COUNTIFS('Menu Details'!$B:$B,$A5,'Menu Details'!$C:$C,"Snacks")&gt;0,"✓","")</f>
        <v/>
      </c>
      <c r="E5" t="str">
        <f>IF(COUNTIFS('Menu Details'!$B:$B,$A5,'Menu Details'!$C:$C,"Dinner")&gt;0,"✓","")</f>
        <v>✓</v>
      </c>
    </row>
    <row r="6" spans="1:5" x14ac:dyDescent="0.25">
      <c r="A6" t="s">
        <v>27</v>
      </c>
      <c r="B6" t="str">
        <f>IF(COUNTIFS('Menu Details'!$B:$B,$A6,'Menu Details'!$C:$C,"Breakfast")&gt;0,"✓","")</f>
        <v/>
      </c>
      <c r="C6" t="str">
        <f>IF(COUNTIFS('Menu Details'!$B:$B,$A6,'Menu Details'!$C:$C,"Lunch")&gt;0,"✓","")</f>
        <v>✓</v>
      </c>
      <c r="D6" t="str">
        <f>IF(COUNTIFS('Menu Details'!$B:$B,$A6,'Menu Details'!$C:$C,"Snacks")&gt;0,"✓","")</f>
        <v/>
      </c>
      <c r="E6" t="str">
        <f>IF(COUNTIFS('Menu Details'!$B:$B,$A6,'Menu Details'!$C:$C,"Dinner")&gt;0,"✓","")</f>
        <v>✓</v>
      </c>
    </row>
    <row r="7" spans="1:5" x14ac:dyDescent="0.25">
      <c r="A7" t="s">
        <v>30</v>
      </c>
      <c r="B7" t="str">
        <f>IF(COUNTIFS('Menu Details'!$B:$B,$A7,'Menu Details'!$C:$C,"Breakfast")&gt;0,"✓","")</f>
        <v>✓</v>
      </c>
      <c r="C7" t="str">
        <f>IF(COUNTIFS('Menu Details'!$B:$B,$A7,'Menu Details'!$C:$C,"Lunch")&gt;0,"✓","")</f>
        <v>✓</v>
      </c>
      <c r="D7" t="str">
        <f>IF(COUNTIFS('Menu Details'!$B:$B,$A7,'Menu Details'!$C:$C,"Snacks")&gt;0,"✓","")</f>
        <v/>
      </c>
      <c r="E7" t="str">
        <f>IF(COUNTIFS('Menu Details'!$B:$B,$A7,'Menu Details'!$C:$C,"Dinner")&gt;0,"✓","")</f>
        <v>✓</v>
      </c>
    </row>
    <row r="8" spans="1:5" x14ac:dyDescent="0.25">
      <c r="A8" t="s">
        <v>33</v>
      </c>
      <c r="B8" t="str">
        <f>IF(COUNTIFS('Menu Details'!$B:$B,$A8,'Menu Details'!$C:$C,"Breakfast")&gt;0,"✓","")</f>
        <v/>
      </c>
      <c r="C8" t="str">
        <f>IF(COUNTIFS('Menu Details'!$B:$B,$A8,'Menu Details'!$C:$C,"Lunch")&gt;0,"✓","")</f>
        <v>✓</v>
      </c>
      <c r="D8" t="str">
        <f>IF(COUNTIFS('Menu Details'!$B:$B,$A8,'Menu Details'!$C:$C,"Snacks")&gt;0,"✓","")</f>
        <v/>
      </c>
      <c r="E8" t="str">
        <f>IF(COUNTIFS('Menu Details'!$B:$B,$A8,'Menu Details'!$C:$C,"Dinner")&gt;0,"✓","")</f>
        <v>✓</v>
      </c>
    </row>
    <row r="9" spans="1:5" x14ac:dyDescent="0.25">
      <c r="A9" t="s">
        <v>37</v>
      </c>
      <c r="B9" t="str">
        <f>IF(COUNTIFS('Menu Details'!$B:$B,$A9,'Menu Details'!$C:$C,"Breakfast")&gt;0,"✓","")</f>
        <v/>
      </c>
      <c r="C9" t="str">
        <f>IF(COUNTIFS('Menu Details'!$B:$B,$A9,'Menu Details'!$C:$C,"Lunch")&gt;0,"✓","")</f>
        <v>✓</v>
      </c>
      <c r="D9" t="str">
        <f>IF(COUNTIFS('Menu Details'!$B:$B,$A9,'Menu Details'!$C:$C,"Snacks")&gt;0,"✓","")</f>
        <v/>
      </c>
      <c r="E9" t="str">
        <f>IF(COUNTIFS('Menu Details'!$B:$B,$A9,'Menu Details'!$C:$C,"Dinner")&gt;0,"✓","")</f>
        <v>✓</v>
      </c>
    </row>
    <row r="10" spans="1:5" x14ac:dyDescent="0.25">
      <c r="A10" t="s">
        <v>41</v>
      </c>
      <c r="B10" t="str">
        <f>IF(COUNTIFS('Menu Details'!$B:$B,$A10,'Menu Details'!$C:$C,"Breakfast")&gt;0,"✓","")</f>
        <v/>
      </c>
      <c r="C10" t="str">
        <f>IF(COUNTIFS('Menu Details'!$B:$B,$A10,'Menu Details'!$C:$C,"Lunch")&gt;0,"✓","")</f>
        <v>✓</v>
      </c>
      <c r="D10" t="str">
        <f>IF(COUNTIFS('Menu Details'!$B:$B,$A10,'Menu Details'!$C:$C,"Snacks")&gt;0,"✓","")</f>
        <v/>
      </c>
      <c r="E10" t="str">
        <f>IF(COUNTIFS('Menu Details'!$B:$B,$A10,'Menu Details'!$C:$C,"Dinner")&gt;0,"✓","")</f>
        <v>✓</v>
      </c>
    </row>
    <row r="11" spans="1:5" x14ac:dyDescent="0.25">
      <c r="A11" t="s">
        <v>44</v>
      </c>
      <c r="B11" t="str">
        <f>IF(COUNTIFS('Menu Details'!$B:$B,$A11,'Menu Details'!$C:$C,"Breakfast")&gt;0,"✓","")</f>
        <v>✓</v>
      </c>
      <c r="C11" t="str">
        <f>IF(COUNTIFS('Menu Details'!$B:$B,$A11,'Menu Details'!$C:$C,"Lunch")&gt;0,"✓","")</f>
        <v>✓</v>
      </c>
      <c r="D11" t="str">
        <f>IF(COUNTIFS('Menu Details'!$B:$B,$A11,'Menu Details'!$C:$C,"Snacks")&gt;0,"✓","")</f>
        <v/>
      </c>
      <c r="E11" t="str">
        <f>IF(COUNTIFS('Menu Details'!$B:$B,$A11,'Menu Details'!$C:$C,"Dinner")&gt;0,"✓","")</f>
        <v>✓</v>
      </c>
    </row>
    <row r="12" spans="1:5" x14ac:dyDescent="0.25">
      <c r="A12" t="s">
        <v>47</v>
      </c>
      <c r="B12" t="str">
        <f>IF(COUNTIFS('Menu Details'!$B:$B,$A12,'Menu Details'!$C:$C,"Breakfast")&gt;0,"✓","")</f>
        <v>✓</v>
      </c>
      <c r="C12" t="str">
        <f>IF(COUNTIFS('Menu Details'!$B:$B,$A12,'Menu Details'!$C:$C,"Lunch")&gt;0,"✓","")</f>
        <v>✓</v>
      </c>
      <c r="D12" t="str">
        <f>IF(COUNTIFS('Menu Details'!$B:$B,$A12,'Menu Details'!$C:$C,"Snacks")&gt;0,"✓","")</f>
        <v/>
      </c>
      <c r="E12" t="str">
        <f>IF(COUNTIFS('Menu Details'!$B:$B,$A12,'Menu Details'!$C:$C,"Dinner")&gt;0,"✓","")</f>
        <v>✓</v>
      </c>
    </row>
    <row r="13" spans="1:5" x14ac:dyDescent="0.25">
      <c r="A13" t="s">
        <v>50</v>
      </c>
      <c r="B13" t="str">
        <f>IF(COUNTIFS('Menu Details'!$B:$B,$A13,'Menu Details'!$C:$C,"Breakfast")&gt;0,"✓","")</f>
        <v>✓</v>
      </c>
      <c r="C13" t="str">
        <f>IF(COUNTIFS('Menu Details'!$B:$B,$A13,'Menu Details'!$C:$C,"Lunch")&gt;0,"✓","")</f>
        <v>✓</v>
      </c>
      <c r="D13" t="str">
        <f>IF(COUNTIFS('Menu Details'!$B:$B,$A13,'Menu Details'!$C:$C,"Snacks")&gt;0,"✓","")</f>
        <v/>
      </c>
      <c r="E13" t="str">
        <f>IF(COUNTIFS('Menu Details'!$B:$B,$A13,'Menu Details'!$C:$C,"Dinner")&gt;0,"✓","")</f>
        <v>✓</v>
      </c>
    </row>
    <row r="14" spans="1:5" x14ac:dyDescent="0.25">
      <c r="A14" t="s">
        <v>53</v>
      </c>
      <c r="B14" t="str">
        <f>IF(COUNTIFS('Menu Details'!$B:$B,$A14,'Menu Details'!$C:$C,"Breakfast")&gt;0,"✓","")</f>
        <v>✓</v>
      </c>
      <c r="C14" t="str">
        <f>IF(COUNTIFS('Menu Details'!$B:$B,$A14,'Menu Details'!$C:$C,"Lunch")&gt;0,"✓","")</f>
        <v>✓</v>
      </c>
      <c r="D14" t="str">
        <f>IF(COUNTIFS('Menu Details'!$B:$B,$A14,'Menu Details'!$C:$C,"Snacks")&gt;0,"✓","")</f>
        <v/>
      </c>
      <c r="E14" t="str">
        <f>IF(COUNTIFS('Menu Details'!$B:$B,$A14,'Menu Details'!$C:$C,"Dinner")&gt;0,"✓","")</f>
        <v>✓</v>
      </c>
    </row>
    <row r="15" spans="1:5" x14ac:dyDescent="0.25">
      <c r="A15" t="s">
        <v>56</v>
      </c>
      <c r="B15" t="str">
        <f>IF(COUNTIFS('Menu Details'!$B:$B,$A15,'Menu Details'!$C:$C,"Breakfast")&gt;0,"✓","")</f>
        <v/>
      </c>
      <c r="C15" t="str">
        <f>IF(COUNTIFS('Menu Details'!$B:$B,$A15,'Menu Details'!$C:$C,"Lunch")&gt;0,"✓","")</f>
        <v>✓</v>
      </c>
      <c r="D15" t="str">
        <f>IF(COUNTIFS('Menu Details'!$B:$B,$A15,'Menu Details'!$C:$C,"Snacks")&gt;0,"✓","")</f>
        <v/>
      </c>
      <c r="E15" t="str">
        <f>IF(COUNTIFS('Menu Details'!$B:$B,$A15,'Menu Details'!$C:$C,"Dinner")&gt;0,"✓","")</f>
        <v>✓</v>
      </c>
    </row>
    <row r="16" spans="1:5" x14ac:dyDescent="0.25">
      <c r="A16" t="s">
        <v>59</v>
      </c>
      <c r="B16" t="str">
        <f>IF(COUNTIFS('Menu Details'!$B:$B,$A16,'Menu Details'!$C:$C,"Breakfast")&gt;0,"✓","")</f>
        <v>✓</v>
      </c>
      <c r="C16" t="str">
        <f>IF(COUNTIFS('Menu Details'!$B:$B,$A16,'Menu Details'!$C:$C,"Lunch")&gt;0,"✓","")</f>
        <v>✓</v>
      </c>
      <c r="D16" t="str">
        <f>IF(COUNTIFS('Menu Details'!$B:$B,$A16,'Menu Details'!$C:$C,"Snacks")&gt;0,"✓","")</f>
        <v/>
      </c>
      <c r="E16" t="str">
        <f>IF(COUNTIFS('Menu Details'!$B:$B,$A16,'Menu Details'!$C:$C,"Dinner")&gt;0,"✓","")</f>
        <v>✓</v>
      </c>
    </row>
    <row r="17" spans="1:5" x14ac:dyDescent="0.25">
      <c r="A17" t="s">
        <v>62</v>
      </c>
      <c r="B17" t="str">
        <f>IF(COUNTIFS('Menu Details'!$B:$B,$A17,'Menu Details'!$C:$C,"Breakfast")&gt;0,"✓","")</f>
        <v/>
      </c>
      <c r="C17" t="str">
        <f>IF(COUNTIFS('Menu Details'!$B:$B,$A17,'Menu Details'!$C:$C,"Lunch")&gt;0,"✓","")</f>
        <v>✓</v>
      </c>
      <c r="D17" t="str">
        <f>IF(COUNTIFS('Menu Details'!$B:$B,$A17,'Menu Details'!$C:$C,"Snacks")&gt;0,"✓","")</f>
        <v/>
      </c>
      <c r="E17" t="str">
        <f>IF(COUNTIFS('Menu Details'!$B:$B,$A17,'Menu Details'!$C:$C,"Dinner")&gt;0,"✓","")</f>
        <v>✓</v>
      </c>
    </row>
    <row r="18" spans="1:5" x14ac:dyDescent="0.25">
      <c r="A18" t="s">
        <v>65</v>
      </c>
      <c r="B18" t="str">
        <f>IF(COUNTIFS('Menu Details'!$B:$B,$A18,'Menu Details'!$C:$C,"Breakfast")&gt;0,"✓","")</f>
        <v/>
      </c>
      <c r="C18" t="str">
        <f>IF(COUNTIFS('Menu Details'!$B:$B,$A18,'Menu Details'!$C:$C,"Lunch")&gt;0,"✓","")</f>
        <v>✓</v>
      </c>
      <c r="D18" t="str">
        <f>IF(COUNTIFS('Menu Details'!$B:$B,$A18,'Menu Details'!$C:$C,"Snacks")&gt;0,"✓","")</f>
        <v/>
      </c>
      <c r="E18" t="str">
        <f>IF(COUNTIFS('Menu Details'!$B:$B,$A18,'Menu Details'!$C:$C,"Dinner")&gt;0,"✓","")</f>
        <v>✓</v>
      </c>
    </row>
    <row r="19" spans="1:5" x14ac:dyDescent="0.25">
      <c r="A19" t="s">
        <v>68</v>
      </c>
      <c r="B19" t="str">
        <f>IF(COUNTIFS('Menu Details'!$B:$B,$A19,'Menu Details'!$C:$C,"Breakfast")&gt;0,"✓","")</f>
        <v/>
      </c>
      <c r="C19" t="str">
        <f>IF(COUNTIFS('Menu Details'!$B:$B,$A19,'Menu Details'!$C:$C,"Lunch")&gt;0,"✓","")</f>
        <v>✓</v>
      </c>
      <c r="D19" t="str">
        <f>IF(COUNTIFS('Menu Details'!$B:$B,$A19,'Menu Details'!$C:$C,"Snacks")&gt;0,"✓","")</f>
        <v/>
      </c>
      <c r="E19" t="str">
        <f>IF(COUNTIFS('Menu Details'!$B:$B,$A19,'Menu Details'!$C:$C,"Dinner")&gt;0,"✓","")</f>
        <v/>
      </c>
    </row>
    <row r="20" spans="1:5" x14ac:dyDescent="0.25">
      <c r="A20" t="s">
        <v>71</v>
      </c>
      <c r="B20" t="str">
        <f>IF(COUNTIFS('Menu Details'!$B:$B,$A20,'Menu Details'!$C:$C,"Breakfast")&gt;0,"✓","")</f>
        <v/>
      </c>
      <c r="C20" t="str">
        <f>IF(COUNTIFS('Menu Details'!$B:$B,$A20,'Menu Details'!$C:$C,"Lunch")&gt;0,"✓","")</f>
        <v>✓</v>
      </c>
      <c r="D20" t="str">
        <f>IF(COUNTIFS('Menu Details'!$B:$B,$A20,'Menu Details'!$C:$C,"Snacks")&gt;0,"✓","")</f>
        <v/>
      </c>
      <c r="E20" t="str">
        <f>IF(COUNTIFS('Menu Details'!$B:$B,$A20,'Menu Details'!$C:$C,"Dinner")&gt;0,"✓","")</f>
        <v>✓</v>
      </c>
    </row>
    <row r="21" spans="1:5" x14ac:dyDescent="0.25">
      <c r="A21" t="s">
        <v>74</v>
      </c>
      <c r="B21" t="str">
        <f>IF(COUNTIFS('Menu Details'!$B:$B,$A21,'Menu Details'!$C:$C,"Breakfast")&gt;0,"✓","")</f>
        <v/>
      </c>
      <c r="C21" t="str">
        <f>IF(COUNTIFS('Menu Details'!$B:$B,$A21,'Menu Details'!$C:$C,"Lunch")&gt;0,"✓","")</f>
        <v>✓</v>
      </c>
      <c r="D21" t="str">
        <f>IF(COUNTIFS('Menu Details'!$B:$B,$A21,'Menu Details'!$C:$C,"Snacks")&gt;0,"✓","")</f>
        <v/>
      </c>
      <c r="E21" t="str">
        <f>IF(COUNTIFS('Menu Details'!$B:$B,$A21,'Menu Details'!$C:$C,"Dinner")&gt;0,"✓","")</f>
        <v>✓</v>
      </c>
    </row>
    <row r="22" spans="1:5" x14ac:dyDescent="0.25">
      <c r="A22" t="s">
        <v>77</v>
      </c>
      <c r="B22" t="str">
        <f>IF(COUNTIFS('Menu Details'!$B:$B,$A22,'Menu Details'!$C:$C,"Breakfast")&gt;0,"✓","")</f>
        <v/>
      </c>
      <c r="C22" t="str">
        <f>IF(COUNTIFS('Menu Details'!$B:$B,$A22,'Menu Details'!$C:$C,"Lunch")&gt;0,"✓","")</f>
        <v>✓</v>
      </c>
      <c r="D22" t="str">
        <f>IF(COUNTIFS('Menu Details'!$B:$B,$A22,'Menu Details'!$C:$C,"Snacks")&gt;0,"✓","")</f>
        <v/>
      </c>
      <c r="E22" t="str">
        <f>IF(COUNTIFS('Menu Details'!$B:$B,$A22,'Menu Details'!$C:$C,"Dinner")&gt;0,"✓","")</f>
        <v>✓</v>
      </c>
    </row>
    <row r="23" spans="1:5" x14ac:dyDescent="0.25">
      <c r="A23" t="s">
        <v>80</v>
      </c>
      <c r="B23" t="str">
        <f>IF(COUNTIFS('Menu Details'!$B:$B,$A23,'Menu Details'!$C:$C,"Breakfast")&gt;0,"✓","")</f>
        <v/>
      </c>
      <c r="C23" t="str">
        <f>IF(COUNTIFS('Menu Details'!$B:$B,$A23,'Menu Details'!$C:$C,"Lunch")&gt;0,"✓","")</f>
        <v>✓</v>
      </c>
      <c r="D23" t="str">
        <f>IF(COUNTIFS('Menu Details'!$B:$B,$A23,'Menu Details'!$C:$C,"Snacks")&gt;0,"✓","")</f>
        <v/>
      </c>
      <c r="E23" t="str">
        <f>IF(COUNTIFS('Menu Details'!$B:$B,$A23,'Menu Details'!$C:$C,"Dinner")&gt;0,"✓","")</f>
        <v>✓</v>
      </c>
    </row>
    <row r="24" spans="1:5" x14ac:dyDescent="0.25">
      <c r="A24" t="s">
        <v>83</v>
      </c>
      <c r="B24" t="str">
        <f>IF(COUNTIFS('Menu Details'!$B:$B,$A24,'Menu Details'!$C:$C,"Breakfast")&gt;0,"✓","")</f>
        <v>✓</v>
      </c>
      <c r="C24" t="str">
        <f>IF(COUNTIFS('Menu Details'!$B:$B,$A24,'Menu Details'!$C:$C,"Lunch")&gt;0,"✓","")</f>
        <v>✓</v>
      </c>
      <c r="D24" t="str">
        <f>IF(COUNTIFS('Menu Details'!$B:$B,$A24,'Menu Details'!$C:$C,"Snacks")&gt;0,"✓","")</f>
        <v>✓</v>
      </c>
      <c r="E24" t="str">
        <f>IF(COUNTIFS('Menu Details'!$B:$B,$A24,'Menu Details'!$C:$C,"Dinner")&gt;0,"✓","")</f>
        <v>✓</v>
      </c>
    </row>
    <row r="25" spans="1:5" x14ac:dyDescent="0.25">
      <c r="A25" t="s">
        <v>86</v>
      </c>
      <c r="B25" t="str">
        <f>IF(COUNTIFS('Menu Details'!$B:$B,$A25,'Menu Details'!$C:$C,"Breakfast")&gt;0,"✓","")</f>
        <v>✓</v>
      </c>
      <c r="C25" t="str">
        <f>IF(COUNTIFS('Menu Details'!$B:$B,$A25,'Menu Details'!$C:$C,"Lunch")&gt;0,"✓","")</f>
        <v>✓</v>
      </c>
      <c r="D25" t="str">
        <f>IF(COUNTIFS('Menu Details'!$B:$B,$A25,'Menu Details'!$C:$C,"Snacks")&gt;0,"✓","")</f>
        <v/>
      </c>
      <c r="E25" t="str">
        <f>IF(COUNTIFS('Menu Details'!$B:$B,$A25,'Menu Details'!$C:$C,"Dinner")&gt;0,"✓","")</f>
        <v>✓</v>
      </c>
    </row>
    <row r="26" spans="1:5" x14ac:dyDescent="0.25">
      <c r="A26" t="s">
        <v>89</v>
      </c>
      <c r="B26" t="str">
        <f>IF(COUNTIFS('Menu Details'!$B:$B,$A26,'Menu Details'!$C:$C,"Breakfast")&gt;0,"✓","")</f>
        <v>✓</v>
      </c>
      <c r="C26" t="str">
        <f>IF(COUNTIFS('Menu Details'!$B:$B,$A26,'Menu Details'!$C:$C,"Lunch")&gt;0,"✓","")</f>
        <v>✓</v>
      </c>
      <c r="D26" t="str">
        <f>IF(COUNTIFS('Menu Details'!$B:$B,$A26,'Menu Details'!$C:$C,"Snacks")&gt;0,"✓","")</f>
        <v>✓</v>
      </c>
      <c r="E26" t="str">
        <f>IF(COUNTIFS('Menu Details'!$B:$B,$A26,'Menu Details'!$C:$C,"Dinner")&gt;0,"✓","")</f>
        <v>✓</v>
      </c>
    </row>
    <row r="27" spans="1:5" x14ac:dyDescent="0.25">
      <c r="A27" t="s">
        <v>92</v>
      </c>
      <c r="B27" t="str">
        <f>IF(COUNTIFS('Menu Details'!$B:$B,$A27,'Menu Details'!$C:$C,"Breakfast")&gt;0,"✓","")</f>
        <v/>
      </c>
      <c r="C27" t="str">
        <f>IF(COUNTIFS('Menu Details'!$B:$B,$A27,'Menu Details'!$C:$C,"Lunch")&gt;0,"✓","")</f>
        <v>✓</v>
      </c>
      <c r="D27" t="str">
        <f>IF(COUNTIFS('Menu Details'!$B:$B,$A27,'Menu Details'!$C:$C,"Snacks")&gt;0,"✓","")</f>
        <v/>
      </c>
      <c r="E27" t="str">
        <f>IF(COUNTIFS('Menu Details'!$B:$B,$A27,'Menu Details'!$C:$C,"Dinner")&gt;0,"✓","")</f>
        <v>✓</v>
      </c>
    </row>
    <row r="28" spans="1:5" x14ac:dyDescent="0.25">
      <c r="A28" t="s">
        <v>95</v>
      </c>
      <c r="B28" t="str">
        <f>IF(COUNTIFS('Menu Details'!$B:$B,$A28,'Menu Details'!$C:$C,"Breakfast")&gt;0,"✓","")</f>
        <v>✓</v>
      </c>
      <c r="C28" t="str">
        <f>IF(COUNTIFS('Menu Details'!$B:$B,$A28,'Menu Details'!$C:$C,"Lunch")&gt;0,"✓","")</f>
        <v/>
      </c>
      <c r="D28" t="str">
        <f>IF(COUNTIFS('Menu Details'!$B:$B,$A28,'Menu Details'!$C:$C,"Snacks")&gt;0,"✓","")</f>
        <v/>
      </c>
      <c r="E28" t="str">
        <f>IF(COUNTIFS('Menu Details'!$B:$B,$A28,'Menu Details'!$C:$C,"Dinner")&gt;0,"✓","")</f>
        <v>✓</v>
      </c>
    </row>
    <row r="29" spans="1:5" x14ac:dyDescent="0.25">
      <c r="A29" t="s">
        <v>98</v>
      </c>
      <c r="B29" t="str">
        <f>IF(COUNTIFS('Menu Details'!$B:$B,$A29,'Menu Details'!$C:$C,"Breakfast")&gt;0,"✓","")</f>
        <v>✓</v>
      </c>
      <c r="C29" t="str">
        <f>IF(COUNTIFS('Menu Details'!$B:$B,$A29,'Menu Details'!$C:$C,"Lunch")&gt;0,"✓","")</f>
        <v/>
      </c>
      <c r="D29" t="str">
        <f>IF(COUNTIFS('Menu Details'!$B:$B,$A29,'Menu Details'!$C:$C,"Snacks")&gt;0,"✓","")</f>
        <v/>
      </c>
      <c r="E29" t="str">
        <f>IF(COUNTIFS('Menu Details'!$B:$B,$A29,'Menu Details'!$C:$C,"Dinner")&gt;0,"✓","")</f>
        <v>✓</v>
      </c>
    </row>
    <row r="30" spans="1:5" x14ac:dyDescent="0.25">
      <c r="A30" t="s">
        <v>101</v>
      </c>
      <c r="B30" t="str">
        <f>IF(COUNTIFS('Menu Details'!$B:$B,$A30,'Menu Details'!$C:$C,"Breakfast")&gt;0,"✓","")</f>
        <v/>
      </c>
      <c r="C30" t="str">
        <f>IF(COUNTIFS('Menu Details'!$B:$B,$A30,'Menu Details'!$C:$C,"Lunch")&gt;0,"✓","")</f>
        <v>✓</v>
      </c>
      <c r="D30" t="str">
        <f>IF(COUNTIFS('Menu Details'!$B:$B,$A30,'Menu Details'!$C:$C,"Snacks")&gt;0,"✓","")</f>
        <v/>
      </c>
      <c r="E30" t="str">
        <f>IF(COUNTIFS('Menu Details'!$B:$B,$A30,'Menu Details'!$C:$C,"Dinner")&gt;0,"✓","")</f>
        <v/>
      </c>
    </row>
    <row r="31" spans="1:5" x14ac:dyDescent="0.25">
      <c r="A31" t="s">
        <v>104</v>
      </c>
      <c r="B31" t="str">
        <f>IF(COUNTIFS('Menu Details'!$B:$B,$A31,'Menu Details'!$C:$C,"Breakfast")&gt;0,"✓","")</f>
        <v/>
      </c>
      <c r="C31" t="str">
        <f>IF(COUNTIFS('Menu Details'!$B:$B,$A31,'Menu Details'!$C:$C,"Lunch")&gt;0,"✓","")</f>
        <v>✓</v>
      </c>
      <c r="D31" t="str">
        <f>IF(COUNTIFS('Menu Details'!$B:$B,$A31,'Menu Details'!$C:$C,"Snacks")&gt;0,"✓","")</f>
        <v/>
      </c>
      <c r="E31" t="str">
        <f>IF(COUNTIFS('Menu Details'!$B:$B,$A31,'Menu Details'!$C:$C,"Dinner")&gt;0,"✓","")</f>
        <v>✓</v>
      </c>
    </row>
    <row r="32" spans="1:5" x14ac:dyDescent="0.25">
      <c r="A32" t="s">
        <v>107</v>
      </c>
      <c r="B32" t="str">
        <f>IF(COUNTIFS('Menu Details'!$B:$B,$A32,'Menu Details'!$C:$C,"Breakfast")&gt;0,"✓","")</f>
        <v/>
      </c>
      <c r="C32" t="str">
        <f>IF(COUNTIFS('Menu Details'!$B:$B,$A32,'Menu Details'!$C:$C,"Lunch")&gt;0,"✓","")</f>
        <v>✓</v>
      </c>
      <c r="D32" t="str">
        <f>IF(COUNTIFS('Menu Details'!$B:$B,$A32,'Menu Details'!$C:$C,"Snacks")&gt;0,"✓","")</f>
        <v/>
      </c>
      <c r="E32" t="str">
        <f>IF(COUNTIFS('Menu Details'!$B:$B,$A32,'Menu Details'!$C:$C,"Dinner")&gt;0,"✓","")</f>
        <v>✓</v>
      </c>
    </row>
    <row r="33" spans="1:5" x14ac:dyDescent="0.25">
      <c r="A33" t="s">
        <v>110</v>
      </c>
      <c r="B33" t="str">
        <f>IF(COUNTIFS('Menu Details'!$B:$B,$A33,'Menu Details'!$C:$C,"Breakfast")&gt;0,"✓","")</f>
        <v/>
      </c>
      <c r="C33" t="str">
        <f>IF(COUNTIFS('Menu Details'!$B:$B,$A33,'Menu Details'!$C:$C,"Lunch")&gt;0,"✓","")</f>
        <v>✓</v>
      </c>
      <c r="D33" t="str">
        <f>IF(COUNTIFS('Menu Details'!$B:$B,$A33,'Menu Details'!$C:$C,"Snacks")&gt;0,"✓","")</f>
        <v/>
      </c>
      <c r="E33" t="str">
        <f>IF(COUNTIFS('Menu Details'!$B:$B,$A33,'Menu Details'!$C:$C,"Dinner")&gt;0,"✓","")</f>
        <v/>
      </c>
    </row>
    <row r="34" spans="1:5" x14ac:dyDescent="0.25">
      <c r="A34" t="s">
        <v>113</v>
      </c>
      <c r="B34" t="str">
        <f>IF(COUNTIFS('Menu Details'!$B:$B,$A34,'Menu Details'!$C:$C,"Breakfast")&gt;0,"✓","")</f>
        <v/>
      </c>
      <c r="C34" t="str">
        <f>IF(COUNTIFS('Menu Details'!$B:$B,$A34,'Menu Details'!$C:$C,"Lunch")&gt;0,"✓","")</f>
        <v>✓</v>
      </c>
      <c r="D34" t="str">
        <f>IF(COUNTIFS('Menu Details'!$B:$B,$A34,'Menu Details'!$C:$C,"Snacks")&gt;0,"✓","")</f>
        <v/>
      </c>
      <c r="E34" t="str">
        <f>IF(COUNTIFS('Menu Details'!$B:$B,$A34,'Menu Details'!$C:$C,"Dinner")&gt;0,"✓","")</f>
        <v/>
      </c>
    </row>
    <row r="35" spans="1:5" x14ac:dyDescent="0.25">
      <c r="A35" t="s">
        <v>116</v>
      </c>
      <c r="B35" t="str">
        <f>IF(COUNTIFS('Menu Details'!$B:$B,$A35,'Menu Details'!$C:$C,"Breakfast")&gt;0,"✓","")</f>
        <v/>
      </c>
      <c r="C35" t="str">
        <f>IF(COUNTIFS('Menu Details'!$B:$B,$A35,'Menu Details'!$C:$C,"Lunch")&gt;0,"✓","")</f>
        <v>✓</v>
      </c>
      <c r="D35" t="str">
        <f>IF(COUNTIFS('Menu Details'!$B:$B,$A35,'Menu Details'!$C:$C,"Snacks")&gt;0,"✓","")</f>
        <v/>
      </c>
      <c r="E35" t="str">
        <f>IF(COUNTIFS('Menu Details'!$B:$B,$A35,'Menu Details'!$C:$C,"Dinner")&gt;0,"✓","")</f>
        <v/>
      </c>
    </row>
    <row r="36" spans="1:5" x14ac:dyDescent="0.25">
      <c r="A36" t="s">
        <v>119</v>
      </c>
      <c r="B36" t="str">
        <f>IF(COUNTIFS('Menu Details'!$B:$B,$A36,'Menu Details'!$C:$C,"Breakfast")&gt;0,"✓","")</f>
        <v/>
      </c>
      <c r="C36" t="str">
        <f>IF(COUNTIFS('Menu Details'!$B:$B,$A36,'Menu Details'!$C:$C,"Lunch")&gt;0,"✓","")</f>
        <v>✓</v>
      </c>
      <c r="D36" t="str">
        <f>IF(COUNTIFS('Menu Details'!$B:$B,$A36,'Menu Details'!$C:$C,"Snacks")&gt;0,"✓","")</f>
        <v/>
      </c>
      <c r="E36" t="str">
        <f>IF(COUNTIFS('Menu Details'!$B:$B,$A36,'Menu Details'!$C:$C,"Dinner")&gt;0,"✓","")</f>
        <v>✓</v>
      </c>
    </row>
    <row r="37" spans="1:5" x14ac:dyDescent="0.25">
      <c r="A37" t="s">
        <v>122</v>
      </c>
      <c r="B37" t="str">
        <f>IF(COUNTIFS('Menu Details'!$B:$B,$A37,'Menu Details'!$C:$C,"Breakfast")&gt;0,"✓","")</f>
        <v/>
      </c>
      <c r="C37" t="str">
        <f>IF(COUNTIFS('Menu Details'!$B:$B,$A37,'Menu Details'!$C:$C,"Lunch")&gt;0,"✓","")</f>
        <v>✓</v>
      </c>
      <c r="D37" t="str">
        <f>IF(COUNTIFS('Menu Details'!$B:$B,$A37,'Menu Details'!$C:$C,"Snacks")&gt;0,"✓","")</f>
        <v/>
      </c>
      <c r="E37" t="str">
        <f>IF(COUNTIFS('Menu Details'!$B:$B,$A37,'Menu Details'!$C:$C,"Dinner")&gt;0,"✓","")</f>
        <v>✓</v>
      </c>
    </row>
    <row r="38" spans="1:5" x14ac:dyDescent="0.25">
      <c r="A38" t="s">
        <v>125</v>
      </c>
      <c r="B38" t="str">
        <f>IF(COUNTIFS('Menu Details'!$B:$B,$A38,'Menu Details'!$C:$C,"Breakfast")&gt;0,"✓","")</f>
        <v/>
      </c>
      <c r="C38" t="str">
        <f>IF(COUNTIFS('Menu Details'!$B:$B,$A38,'Menu Details'!$C:$C,"Lunch")&gt;0,"✓","")</f>
        <v>✓</v>
      </c>
      <c r="D38" t="str">
        <f>IF(COUNTIFS('Menu Details'!$B:$B,$A38,'Menu Details'!$C:$C,"Snacks")&gt;0,"✓","")</f>
        <v/>
      </c>
      <c r="E38" t="str">
        <f>IF(COUNTIFS('Menu Details'!$B:$B,$A38,'Menu Details'!$C:$C,"Dinner")&gt;0,"✓","")</f>
        <v/>
      </c>
    </row>
    <row r="39" spans="1:5" x14ac:dyDescent="0.25">
      <c r="A39" t="s">
        <v>128</v>
      </c>
      <c r="B39" t="str">
        <f>IF(COUNTIFS('Menu Details'!$B:$B,$A39,'Menu Details'!$C:$C,"Breakfast")&gt;0,"✓","")</f>
        <v/>
      </c>
      <c r="C39" t="str">
        <f>IF(COUNTIFS('Menu Details'!$B:$B,$A39,'Menu Details'!$C:$C,"Lunch")&gt;0,"✓","")</f>
        <v>✓</v>
      </c>
      <c r="D39" t="str">
        <f>IF(COUNTIFS('Menu Details'!$B:$B,$A39,'Menu Details'!$C:$C,"Snacks")&gt;0,"✓","")</f>
        <v/>
      </c>
      <c r="E39" t="str">
        <f>IF(COUNTIFS('Menu Details'!$B:$B,$A39,'Menu Details'!$C:$C,"Dinner")&gt;0,"✓","")</f>
        <v>✓</v>
      </c>
    </row>
    <row r="40" spans="1:5" x14ac:dyDescent="0.25">
      <c r="A40" t="s">
        <v>131</v>
      </c>
      <c r="B40" t="str">
        <f>IF(COUNTIFS('Menu Details'!$B:$B,$A40,'Menu Details'!$C:$C,"Breakfast")&gt;0,"✓","")</f>
        <v>✓</v>
      </c>
      <c r="C40" t="str">
        <f>IF(COUNTIFS('Menu Details'!$B:$B,$A40,'Menu Details'!$C:$C,"Lunch")&gt;0,"✓","")</f>
        <v/>
      </c>
      <c r="D40" t="str">
        <f>IF(COUNTIFS('Menu Details'!$B:$B,$A40,'Menu Details'!$C:$C,"Snacks")&gt;0,"✓","")</f>
        <v/>
      </c>
      <c r="E40" t="str">
        <f>IF(COUNTIFS('Menu Details'!$B:$B,$A40,'Menu Details'!$C:$C,"Dinner")&gt;0,"✓","")</f>
        <v>✓</v>
      </c>
    </row>
    <row r="41" spans="1:5" x14ac:dyDescent="0.25">
      <c r="A41" t="s">
        <v>134</v>
      </c>
      <c r="B41" t="str">
        <f>IF(COUNTIFS('Menu Details'!$B:$B,$A41,'Menu Details'!$C:$C,"Breakfast")&gt;0,"✓","")</f>
        <v>✓</v>
      </c>
      <c r="C41" t="str">
        <f>IF(COUNTIFS('Menu Details'!$B:$B,$A41,'Menu Details'!$C:$C,"Lunch")&gt;0,"✓","")</f>
        <v/>
      </c>
      <c r="D41" t="str">
        <f>IF(COUNTIFS('Menu Details'!$B:$B,$A41,'Menu Details'!$C:$C,"Snacks")&gt;0,"✓","")</f>
        <v/>
      </c>
      <c r="E41" t="str">
        <f>IF(COUNTIFS('Menu Details'!$B:$B,$A41,'Menu Details'!$C:$C,"Dinner")&gt;0,"✓","")</f>
        <v>✓</v>
      </c>
    </row>
    <row r="42" spans="1:5" x14ac:dyDescent="0.25">
      <c r="A42" t="s">
        <v>137</v>
      </c>
      <c r="B42" t="str">
        <f>IF(COUNTIFS('Menu Details'!$B:$B,$A42,'Menu Details'!$C:$C,"Breakfast")&gt;0,"✓","")</f>
        <v/>
      </c>
      <c r="C42" t="str">
        <f>IF(COUNTIFS('Menu Details'!$B:$B,$A42,'Menu Details'!$C:$C,"Lunch")&gt;0,"✓","")</f>
        <v>✓</v>
      </c>
      <c r="D42" t="str">
        <f>IF(COUNTIFS('Menu Details'!$B:$B,$A42,'Menu Details'!$C:$C,"Snacks")&gt;0,"✓","")</f>
        <v/>
      </c>
      <c r="E42" t="str">
        <f>IF(COUNTIFS('Menu Details'!$B:$B,$A42,'Menu Details'!$C:$C,"Dinner")&gt;0,"✓","")</f>
        <v>✓</v>
      </c>
    </row>
    <row r="43" spans="1:5" x14ac:dyDescent="0.25">
      <c r="A43" t="s">
        <v>140</v>
      </c>
      <c r="B43" t="str">
        <f>IF(COUNTIFS('Menu Details'!$B:$B,$A43,'Menu Details'!$C:$C,"Breakfast")&gt;0,"✓","")</f>
        <v>✓</v>
      </c>
      <c r="C43" t="str">
        <f>IF(COUNTIFS('Menu Details'!$B:$B,$A43,'Menu Details'!$C:$C,"Lunch")&gt;0,"✓","")</f>
        <v/>
      </c>
      <c r="D43" t="str">
        <f>IF(COUNTIFS('Menu Details'!$B:$B,$A43,'Menu Details'!$C:$C,"Snacks")&gt;0,"✓","")</f>
        <v/>
      </c>
      <c r="E43" t="str">
        <f>IF(COUNTIFS('Menu Details'!$B:$B,$A43,'Menu Details'!$C:$C,"Dinner")&gt;0,"✓","")</f>
        <v>✓</v>
      </c>
    </row>
    <row r="44" spans="1:5" x14ac:dyDescent="0.25">
      <c r="A44" t="s">
        <v>143</v>
      </c>
      <c r="B44" t="str">
        <f>IF(COUNTIFS('Menu Details'!$B:$B,$A44,'Menu Details'!$C:$C,"Breakfast")&gt;0,"✓","")</f>
        <v>✓</v>
      </c>
      <c r="C44" t="str">
        <f>IF(COUNTIFS('Menu Details'!$B:$B,$A44,'Menu Details'!$C:$C,"Lunch")&gt;0,"✓","")</f>
        <v/>
      </c>
      <c r="D44" t="str">
        <f>IF(COUNTIFS('Menu Details'!$B:$B,$A44,'Menu Details'!$C:$C,"Snacks")&gt;0,"✓","")</f>
        <v/>
      </c>
      <c r="E44" t="str">
        <f>IF(COUNTIFS('Menu Details'!$B:$B,$A44,'Menu Details'!$C:$C,"Dinner")&gt;0,"✓","")</f>
        <v>✓</v>
      </c>
    </row>
    <row r="45" spans="1:5" x14ac:dyDescent="0.25">
      <c r="A45" t="s">
        <v>146</v>
      </c>
      <c r="B45" t="str">
        <f>IF(COUNTIFS('Menu Details'!$B:$B,$A45,'Menu Details'!$C:$C,"Breakfast")&gt;0,"✓","")</f>
        <v>✓</v>
      </c>
      <c r="C45" t="str">
        <f>IF(COUNTIFS('Menu Details'!$B:$B,$A45,'Menu Details'!$C:$C,"Lunch")&gt;0,"✓","")</f>
        <v/>
      </c>
      <c r="D45" t="str">
        <f>IF(COUNTIFS('Menu Details'!$B:$B,$A45,'Menu Details'!$C:$C,"Snacks")&gt;0,"✓","")</f>
        <v/>
      </c>
      <c r="E45" t="str">
        <f>IF(COUNTIFS('Menu Details'!$B:$B,$A45,'Menu Details'!$C:$C,"Dinner")&gt;0,"✓","")</f>
        <v>✓</v>
      </c>
    </row>
    <row r="46" spans="1:5" x14ac:dyDescent="0.25">
      <c r="A46" t="s">
        <v>149</v>
      </c>
      <c r="B46" t="str">
        <f>IF(COUNTIFS('Menu Details'!$B:$B,$A46,'Menu Details'!$C:$C,"Breakfast")&gt;0,"✓","")</f>
        <v>✓</v>
      </c>
      <c r="C46" t="str">
        <f>IF(COUNTIFS('Menu Details'!$B:$B,$A46,'Menu Details'!$C:$C,"Lunch")&gt;0,"✓","")</f>
        <v/>
      </c>
      <c r="D46" t="str">
        <f>IF(COUNTIFS('Menu Details'!$B:$B,$A46,'Menu Details'!$C:$C,"Snacks")&gt;0,"✓","")</f>
        <v/>
      </c>
      <c r="E46" t="str">
        <f>IF(COUNTIFS('Menu Details'!$B:$B,$A46,'Menu Details'!$C:$C,"Dinner")&gt;0,"✓","")</f>
        <v>✓</v>
      </c>
    </row>
    <row r="47" spans="1:5" x14ac:dyDescent="0.25">
      <c r="A47" t="s">
        <v>152</v>
      </c>
      <c r="B47" t="str">
        <f>IF(COUNTIFS('Menu Details'!$B:$B,$A47,'Menu Details'!$C:$C,"Breakfast")&gt;0,"✓","")</f>
        <v>✓</v>
      </c>
      <c r="C47" t="str">
        <f>IF(COUNTIFS('Menu Details'!$B:$B,$A47,'Menu Details'!$C:$C,"Lunch")&gt;0,"✓","")</f>
        <v/>
      </c>
      <c r="D47" t="str">
        <f>IF(COUNTIFS('Menu Details'!$B:$B,$A47,'Menu Details'!$C:$C,"Snacks")&gt;0,"✓","")</f>
        <v/>
      </c>
      <c r="E47" t="str">
        <f>IF(COUNTIFS('Menu Details'!$B:$B,$A47,'Menu Details'!$C:$C,"Dinner")&gt;0,"✓","")</f>
        <v>✓</v>
      </c>
    </row>
    <row r="48" spans="1:5" x14ac:dyDescent="0.25">
      <c r="A48" t="s">
        <v>155</v>
      </c>
      <c r="B48" t="str">
        <f>IF(COUNTIFS('Menu Details'!$B:$B,$A48,'Menu Details'!$C:$C,"Breakfast")&gt;0,"✓","")</f>
        <v>✓</v>
      </c>
      <c r="C48" t="str">
        <f>IF(COUNTIFS('Menu Details'!$B:$B,$A48,'Menu Details'!$C:$C,"Lunch")&gt;0,"✓","")</f>
        <v/>
      </c>
      <c r="D48" t="str">
        <f>IF(COUNTIFS('Menu Details'!$B:$B,$A48,'Menu Details'!$C:$C,"Snacks")&gt;0,"✓","")</f>
        <v/>
      </c>
      <c r="E48" t="str">
        <f>IF(COUNTIFS('Menu Details'!$B:$B,$A48,'Menu Details'!$C:$C,"Dinner")&gt;0,"✓","")</f>
        <v>✓</v>
      </c>
    </row>
    <row r="49" spans="1:5" x14ac:dyDescent="0.25">
      <c r="A49" t="s">
        <v>158</v>
      </c>
      <c r="B49" t="str">
        <f>IF(COUNTIFS('Menu Details'!$B:$B,$A49,'Menu Details'!$C:$C,"Breakfast")&gt;0,"✓","")</f>
        <v>✓</v>
      </c>
      <c r="C49" t="str">
        <f>IF(COUNTIFS('Menu Details'!$B:$B,$A49,'Menu Details'!$C:$C,"Lunch")&gt;0,"✓","")</f>
        <v>✓</v>
      </c>
      <c r="D49" t="str">
        <f>IF(COUNTIFS('Menu Details'!$B:$B,$A49,'Menu Details'!$C:$C,"Snacks")&gt;0,"✓","")</f>
        <v/>
      </c>
      <c r="E49" t="str">
        <f>IF(COUNTIFS('Menu Details'!$B:$B,$A49,'Menu Details'!$C:$C,"Dinner")&gt;0,"✓","")</f>
        <v>✓</v>
      </c>
    </row>
    <row r="50" spans="1:5" x14ac:dyDescent="0.25">
      <c r="A50" t="s">
        <v>160</v>
      </c>
      <c r="B50" t="str">
        <f>IF(COUNTIFS('Menu Details'!$B:$B,$A50,'Menu Details'!$C:$C,"Breakfast")&gt;0,"✓","")</f>
        <v>✓</v>
      </c>
      <c r="C50" t="str">
        <f>IF(COUNTIFS('Menu Details'!$B:$B,$A50,'Menu Details'!$C:$C,"Lunch")&gt;0,"✓","")</f>
        <v>✓</v>
      </c>
      <c r="D50" t="str">
        <f>IF(COUNTIFS('Menu Details'!$B:$B,$A50,'Menu Details'!$C:$C,"Snacks")&gt;0,"✓","")</f>
        <v/>
      </c>
      <c r="E50" t="str">
        <f>IF(COUNTIFS('Menu Details'!$B:$B,$A50,'Menu Details'!$C:$C,"Dinner")&gt;0,"✓","")</f>
        <v>✓</v>
      </c>
    </row>
    <row r="51" spans="1:5" x14ac:dyDescent="0.25">
      <c r="A51" t="s">
        <v>163</v>
      </c>
      <c r="B51" t="str">
        <f>IF(COUNTIFS('Menu Details'!$B:$B,$A51,'Menu Details'!$C:$C,"Breakfast")&gt;0,"✓","")</f>
        <v/>
      </c>
      <c r="C51" t="str">
        <f>IF(COUNTIFS('Menu Details'!$B:$B,$A51,'Menu Details'!$C:$C,"Lunch")&gt;0,"✓","")</f>
        <v>✓</v>
      </c>
      <c r="D51" t="str">
        <f>IF(COUNTIFS('Menu Details'!$B:$B,$A51,'Menu Details'!$C:$C,"Snacks")&gt;0,"✓","")</f>
        <v/>
      </c>
      <c r="E51" t="str">
        <f>IF(COUNTIFS('Menu Details'!$B:$B,$A51,'Menu Details'!$C:$C,"Dinner")&gt;0,"✓","")</f>
        <v/>
      </c>
    </row>
    <row r="52" spans="1:5" x14ac:dyDescent="0.25">
      <c r="A52" t="s">
        <v>166</v>
      </c>
      <c r="B52" t="str">
        <f>IF(COUNTIFS('Menu Details'!$B:$B,$A52,'Menu Details'!$C:$C,"Breakfast")&gt;0,"✓","")</f>
        <v/>
      </c>
      <c r="C52" t="str">
        <f>IF(COUNTIFS('Menu Details'!$B:$B,$A52,'Menu Details'!$C:$C,"Lunch")&gt;0,"✓","")</f>
        <v>✓</v>
      </c>
      <c r="D52" t="str">
        <f>IF(COUNTIFS('Menu Details'!$B:$B,$A52,'Menu Details'!$C:$C,"Snacks")&gt;0,"✓","")</f>
        <v/>
      </c>
      <c r="E52" t="str">
        <f>IF(COUNTIFS('Menu Details'!$B:$B,$A52,'Menu Details'!$C:$C,"Dinner")&gt;0,"✓","")</f>
        <v/>
      </c>
    </row>
    <row r="53" spans="1:5" x14ac:dyDescent="0.25">
      <c r="A53" t="s">
        <v>169</v>
      </c>
      <c r="B53" t="str">
        <f>IF(COUNTIFS('Menu Details'!$B:$B,$A53,'Menu Details'!$C:$C,"Breakfast")&gt;0,"✓","")</f>
        <v>✓</v>
      </c>
      <c r="C53" t="str">
        <f>IF(COUNTIFS('Menu Details'!$B:$B,$A53,'Menu Details'!$C:$C,"Lunch")&gt;0,"✓","")</f>
        <v/>
      </c>
      <c r="D53" t="str">
        <f>IF(COUNTIFS('Menu Details'!$B:$B,$A53,'Menu Details'!$C:$C,"Snacks")&gt;0,"✓","")</f>
        <v/>
      </c>
      <c r="E53" t="str">
        <f>IF(COUNTIFS('Menu Details'!$B:$B,$A53,'Menu Details'!$C:$C,"Dinner")&gt;0,"✓","")</f>
        <v>✓</v>
      </c>
    </row>
    <row r="54" spans="1:5" x14ac:dyDescent="0.25">
      <c r="A54" t="s">
        <v>172</v>
      </c>
      <c r="B54" t="str">
        <f>IF(COUNTIFS('Menu Details'!$B:$B,$A54,'Menu Details'!$C:$C,"Breakfast")&gt;0,"✓","")</f>
        <v>✓</v>
      </c>
      <c r="C54" t="str">
        <f>IF(COUNTIFS('Menu Details'!$B:$B,$A54,'Menu Details'!$C:$C,"Lunch")&gt;0,"✓","")</f>
        <v>✓</v>
      </c>
      <c r="D54" t="str">
        <f>IF(COUNTIFS('Menu Details'!$B:$B,$A54,'Menu Details'!$C:$C,"Snacks")&gt;0,"✓","")</f>
        <v/>
      </c>
      <c r="E54" t="str">
        <f>IF(COUNTIFS('Menu Details'!$B:$B,$A54,'Menu Details'!$C:$C,"Dinner")&gt;0,"✓","")</f>
        <v>✓</v>
      </c>
    </row>
    <row r="55" spans="1:5" x14ac:dyDescent="0.25">
      <c r="A55" t="s">
        <v>175</v>
      </c>
      <c r="B55" t="str">
        <f>IF(COUNTIFS('Menu Details'!$B:$B,$A55,'Menu Details'!$C:$C,"Breakfast")&gt;0,"✓","")</f>
        <v>✓</v>
      </c>
      <c r="C55" t="str">
        <f>IF(COUNTIFS('Menu Details'!$B:$B,$A55,'Menu Details'!$C:$C,"Lunch")&gt;0,"✓","")</f>
        <v/>
      </c>
      <c r="D55" t="str">
        <f>IF(COUNTIFS('Menu Details'!$B:$B,$A55,'Menu Details'!$C:$C,"Snacks")&gt;0,"✓","")</f>
        <v/>
      </c>
      <c r="E55" t="str">
        <f>IF(COUNTIFS('Menu Details'!$B:$B,$A55,'Menu Details'!$C:$C,"Dinner")&gt;0,"✓","")</f>
        <v>✓</v>
      </c>
    </row>
    <row r="56" spans="1:5" x14ac:dyDescent="0.25">
      <c r="A56" t="s">
        <v>178</v>
      </c>
      <c r="B56" t="str">
        <f>IF(COUNTIFS('Menu Details'!$B:$B,$A56,'Menu Details'!$C:$C,"Breakfast")&gt;0,"✓","")</f>
        <v>✓</v>
      </c>
      <c r="C56" t="str">
        <f>IF(COUNTIFS('Menu Details'!$B:$B,$A56,'Menu Details'!$C:$C,"Lunch")&gt;0,"✓","")</f>
        <v/>
      </c>
      <c r="D56" t="str">
        <f>IF(COUNTIFS('Menu Details'!$B:$B,$A56,'Menu Details'!$C:$C,"Snacks")&gt;0,"✓","")</f>
        <v/>
      </c>
      <c r="E56" t="str">
        <f>IF(COUNTIFS('Menu Details'!$B:$B,$A56,'Menu Details'!$C:$C,"Dinner")&gt;0,"✓","")</f>
        <v>✓</v>
      </c>
    </row>
    <row r="57" spans="1:5" x14ac:dyDescent="0.25">
      <c r="A57" t="s">
        <v>181</v>
      </c>
      <c r="B57" t="str">
        <f>IF(COUNTIFS('Menu Details'!$B:$B,$A57,'Menu Details'!$C:$C,"Breakfast")&gt;0,"✓","")</f>
        <v>✓</v>
      </c>
      <c r="C57" t="str">
        <f>IF(COUNTIFS('Menu Details'!$B:$B,$A57,'Menu Details'!$C:$C,"Lunch")&gt;0,"✓","")</f>
        <v/>
      </c>
      <c r="D57" t="str">
        <f>IF(COUNTIFS('Menu Details'!$B:$B,$A57,'Menu Details'!$C:$C,"Snacks")&gt;0,"✓","")</f>
        <v/>
      </c>
      <c r="E57" t="str">
        <f>IF(COUNTIFS('Menu Details'!$B:$B,$A57,'Menu Details'!$C:$C,"Dinner")&gt;0,"✓","")</f>
        <v>✓</v>
      </c>
    </row>
    <row r="58" spans="1:5" x14ac:dyDescent="0.25">
      <c r="A58" t="s">
        <v>185</v>
      </c>
      <c r="B58" t="str">
        <f>IF(COUNTIFS('Menu Details'!$B:$B,$A58,'Menu Details'!$C:$C,"Breakfast")&gt;0,"✓","")</f>
        <v>✓</v>
      </c>
      <c r="C58" t="str">
        <f>IF(COUNTIFS('Menu Details'!$B:$B,$A58,'Menu Details'!$C:$C,"Lunch")&gt;0,"✓","")</f>
        <v>✓</v>
      </c>
      <c r="D58" t="str">
        <f>IF(COUNTIFS('Menu Details'!$B:$B,$A58,'Menu Details'!$C:$C,"Snacks")&gt;0,"✓","")</f>
        <v>✓</v>
      </c>
      <c r="E58" t="str">
        <f>IF(COUNTIFS('Menu Details'!$B:$B,$A58,'Menu Details'!$C:$C,"Dinner")&gt;0,"✓","")</f>
        <v>✓</v>
      </c>
    </row>
    <row r="59" spans="1:5" x14ac:dyDescent="0.25">
      <c r="A59" t="s">
        <v>188</v>
      </c>
      <c r="B59" t="str">
        <f>IF(COUNTIFS('Menu Details'!$B:$B,$A59,'Menu Details'!$C:$C,"Breakfast")&gt;0,"✓","")</f>
        <v/>
      </c>
      <c r="C59" t="str">
        <f>IF(COUNTIFS('Menu Details'!$B:$B,$A59,'Menu Details'!$C:$C,"Lunch")&gt;0,"✓","")</f>
        <v>✓</v>
      </c>
      <c r="D59" t="str">
        <f>IF(COUNTIFS('Menu Details'!$B:$B,$A59,'Menu Details'!$C:$C,"Snacks")&gt;0,"✓","")</f>
        <v/>
      </c>
      <c r="E59" t="str">
        <f>IF(COUNTIFS('Menu Details'!$B:$B,$A59,'Menu Details'!$C:$C,"Dinner")&gt;0,"✓","")</f>
        <v>✓</v>
      </c>
    </row>
    <row r="60" spans="1:5" x14ac:dyDescent="0.25">
      <c r="A60" t="s">
        <v>191</v>
      </c>
      <c r="B60" t="str">
        <f>IF(COUNTIFS('Menu Details'!$B:$B,$A60,'Menu Details'!$C:$C,"Breakfast")&gt;0,"✓","")</f>
        <v/>
      </c>
      <c r="C60" t="str">
        <f>IF(COUNTIFS('Menu Details'!$B:$B,$A60,'Menu Details'!$C:$C,"Lunch")&gt;0,"✓","")</f>
        <v>✓</v>
      </c>
      <c r="D60" t="str">
        <f>IF(COUNTIFS('Menu Details'!$B:$B,$A60,'Menu Details'!$C:$C,"Snacks")&gt;0,"✓","")</f>
        <v/>
      </c>
      <c r="E60" t="str">
        <f>IF(COUNTIFS('Menu Details'!$B:$B,$A60,'Menu Details'!$C:$C,"Dinner")&gt;0,"✓","")</f>
        <v>✓</v>
      </c>
    </row>
    <row r="61" spans="1:5" x14ac:dyDescent="0.25">
      <c r="A61" t="s">
        <v>194</v>
      </c>
      <c r="B61" t="str">
        <f>IF(COUNTIFS('Menu Details'!$B:$B,$A61,'Menu Details'!$C:$C,"Breakfast")&gt;0,"✓","")</f>
        <v>✓</v>
      </c>
      <c r="C61" t="str">
        <f>IF(COUNTIFS('Menu Details'!$B:$B,$A61,'Menu Details'!$C:$C,"Lunch")&gt;0,"✓","")</f>
        <v>✓</v>
      </c>
      <c r="D61" t="str">
        <f>IF(COUNTIFS('Menu Details'!$B:$B,$A61,'Menu Details'!$C:$C,"Snacks")&gt;0,"✓","")</f>
        <v>✓</v>
      </c>
      <c r="E61" t="str">
        <f>IF(COUNTIFS('Menu Details'!$B:$B,$A61,'Menu Details'!$C:$C,"Dinner")&gt;0,"✓","")</f>
        <v>✓</v>
      </c>
    </row>
    <row r="62" spans="1:5" x14ac:dyDescent="0.25">
      <c r="A62" t="s">
        <v>500</v>
      </c>
      <c r="B62" t="str">
        <f>IF(COUNTIFS('Menu Details'!$B:$B,$A62,'Menu Details'!$C:$C,"Breakfast")&gt;0,"✓","")</f>
        <v/>
      </c>
      <c r="C62" t="str">
        <f>IF(COUNTIFS('Menu Details'!$B:$B,$A62,'Menu Details'!$C:$C,"Lunch")&gt;0,"✓","")</f>
        <v/>
      </c>
      <c r="D62" t="str">
        <f>IF(COUNTIFS('Menu Details'!$B:$B,$A62,'Menu Details'!$C:$C,"Snacks")&gt;0,"✓","")</f>
        <v/>
      </c>
      <c r="E62" t="str">
        <f>IF(COUNTIFS('Menu Details'!$B:$B,$A62,'Menu Details'!$C:$C,"Dinner")&gt;0,"✓","")</f>
        <v/>
      </c>
    </row>
    <row r="63" spans="1:5" x14ac:dyDescent="0.25">
      <c r="A63" t="s">
        <v>501</v>
      </c>
      <c r="B63" t="str">
        <f>IF(COUNTIFS('Menu Details'!$B:$B,$A63,'Menu Details'!$C:$C,"Breakfast")&gt;0,"✓","")</f>
        <v/>
      </c>
      <c r="C63" t="str">
        <f>IF(COUNTIFS('Menu Details'!$B:$B,$A63,'Menu Details'!$C:$C,"Lunch")&gt;0,"✓","")</f>
        <v/>
      </c>
      <c r="D63" t="str">
        <f>IF(COUNTIFS('Menu Details'!$B:$B,$A63,'Menu Details'!$C:$C,"Snacks")&gt;0,"✓","")</f>
        <v/>
      </c>
      <c r="E63" t="str">
        <f>IF(COUNTIFS('Menu Details'!$B:$B,$A63,'Menu Details'!$C:$C,"Dinner")&gt;0,"✓","")</f>
        <v/>
      </c>
    </row>
    <row r="64" spans="1:5" x14ac:dyDescent="0.25">
      <c r="A64" t="s">
        <v>502</v>
      </c>
      <c r="B64" t="str">
        <f>IF(COUNTIFS('Menu Details'!$B:$B,$A64,'Menu Details'!$C:$C,"Breakfast")&gt;0,"✓","")</f>
        <v/>
      </c>
      <c r="C64" t="str">
        <f>IF(COUNTIFS('Menu Details'!$B:$B,$A64,'Menu Details'!$C:$C,"Lunch")&gt;0,"✓","")</f>
        <v/>
      </c>
      <c r="D64" t="str">
        <f>IF(COUNTIFS('Menu Details'!$B:$B,$A64,'Menu Details'!$C:$C,"Snacks")&gt;0,"✓","")</f>
        <v/>
      </c>
      <c r="E64" t="str">
        <f>IF(COUNTIFS('Menu Details'!$B:$B,$A64,'Menu Details'!$C:$C,"Dinner")&gt;0,"✓","")</f>
        <v/>
      </c>
    </row>
    <row r="65" spans="1:5" x14ac:dyDescent="0.25">
      <c r="A65" t="s">
        <v>197</v>
      </c>
      <c r="B65" t="str">
        <f>IF(COUNTIFS('Menu Details'!$B:$B,$A65,'Menu Details'!$C:$C,"Breakfast")&gt;0,"✓","")</f>
        <v>✓</v>
      </c>
      <c r="C65" t="str">
        <f>IF(COUNTIFS('Menu Details'!$B:$B,$A65,'Menu Details'!$C:$C,"Lunch")&gt;0,"✓","")</f>
        <v>✓</v>
      </c>
      <c r="D65" t="str">
        <f>IF(COUNTIFS('Menu Details'!$B:$B,$A65,'Menu Details'!$C:$C,"Snacks")&gt;0,"✓","")</f>
        <v>✓</v>
      </c>
      <c r="E65" t="str">
        <f>IF(COUNTIFS('Menu Details'!$B:$B,$A65,'Menu Details'!$C:$C,"Dinner")&gt;0,"✓","")</f>
        <v>✓</v>
      </c>
    </row>
    <row r="66" spans="1:5" x14ac:dyDescent="0.25">
      <c r="A66" t="s">
        <v>201</v>
      </c>
      <c r="B66" t="str">
        <f>IF(COUNTIFS('Menu Details'!$B:$B,$A66,'Menu Details'!$C:$C,"Breakfast")&gt;0,"✓","")</f>
        <v>✓</v>
      </c>
      <c r="C66" t="str">
        <f>IF(COUNTIFS('Menu Details'!$B:$B,$A66,'Menu Details'!$C:$C,"Lunch")&gt;0,"✓","")</f>
        <v>✓</v>
      </c>
      <c r="D66" t="str">
        <f>IF(COUNTIFS('Menu Details'!$B:$B,$A66,'Menu Details'!$C:$C,"Snacks")&gt;0,"✓","")</f>
        <v>✓</v>
      </c>
      <c r="E66" t="str">
        <f>IF(COUNTIFS('Menu Details'!$B:$B,$A66,'Menu Details'!$C:$C,"Dinner")&gt;0,"✓","")</f>
        <v>✓</v>
      </c>
    </row>
    <row r="67" spans="1:5" x14ac:dyDescent="0.25">
      <c r="A67" t="s">
        <v>204</v>
      </c>
      <c r="B67" t="str">
        <f>IF(COUNTIFS('Menu Details'!$B:$B,$A67,'Menu Details'!$C:$C,"Breakfast")&gt;0,"✓","")</f>
        <v>✓</v>
      </c>
      <c r="C67" t="str">
        <f>IF(COUNTIFS('Menu Details'!$B:$B,$A67,'Menu Details'!$C:$C,"Lunch")&gt;0,"✓","")</f>
        <v>✓</v>
      </c>
      <c r="D67" t="str">
        <f>IF(COUNTIFS('Menu Details'!$B:$B,$A67,'Menu Details'!$C:$C,"Snacks")&gt;0,"✓","")</f>
        <v>✓</v>
      </c>
      <c r="E67" t="str">
        <f>IF(COUNTIFS('Menu Details'!$B:$B,$A67,'Menu Details'!$C:$C,"Dinner")&gt;0,"✓","")</f>
        <v>✓</v>
      </c>
    </row>
    <row r="68" spans="1:5" x14ac:dyDescent="0.25">
      <c r="A68" t="s">
        <v>207</v>
      </c>
      <c r="B68" t="str">
        <f>IF(COUNTIFS('Menu Details'!$B:$B,$A68,'Menu Details'!$C:$C,"Breakfast")&gt;0,"✓","")</f>
        <v>✓</v>
      </c>
      <c r="C68" t="str">
        <f>IF(COUNTIFS('Menu Details'!$B:$B,$A68,'Menu Details'!$C:$C,"Lunch")&gt;0,"✓","")</f>
        <v>✓</v>
      </c>
      <c r="D68" t="str">
        <f>IF(COUNTIFS('Menu Details'!$B:$B,$A68,'Menu Details'!$C:$C,"Snacks")&gt;0,"✓","")</f>
        <v>✓</v>
      </c>
      <c r="E68" t="str">
        <f>IF(COUNTIFS('Menu Details'!$B:$B,$A68,'Menu Details'!$C:$C,"Dinner")&gt;0,"✓","")</f>
        <v>✓</v>
      </c>
    </row>
    <row r="69" spans="1:5" x14ac:dyDescent="0.25">
      <c r="A69" t="s">
        <v>209</v>
      </c>
      <c r="B69" t="str">
        <f>IF(COUNTIFS('Menu Details'!$B:$B,$A69,'Menu Details'!$C:$C,"Breakfast")&gt;0,"✓","")</f>
        <v>✓</v>
      </c>
      <c r="C69" t="str">
        <f>IF(COUNTIFS('Menu Details'!$B:$B,$A69,'Menu Details'!$C:$C,"Lunch")&gt;0,"✓","")</f>
        <v>✓</v>
      </c>
      <c r="D69" t="str">
        <f>IF(COUNTIFS('Menu Details'!$B:$B,$A69,'Menu Details'!$C:$C,"Snacks")&gt;0,"✓","")</f>
        <v>✓</v>
      </c>
      <c r="E69" t="str">
        <f>IF(COUNTIFS('Menu Details'!$B:$B,$A69,'Menu Details'!$C:$C,"Dinner")&gt;0,"✓","")</f>
        <v>✓</v>
      </c>
    </row>
    <row r="70" spans="1:5" x14ac:dyDescent="0.25">
      <c r="A70" t="s">
        <v>211</v>
      </c>
      <c r="B70" t="str">
        <f>IF(COUNTIFS('Menu Details'!$B:$B,$A70,'Menu Details'!$C:$C,"Breakfast")&gt;0,"✓","")</f>
        <v>✓</v>
      </c>
      <c r="C70" t="str">
        <f>IF(COUNTIFS('Menu Details'!$B:$B,$A70,'Menu Details'!$C:$C,"Lunch")&gt;0,"✓","")</f>
        <v>✓</v>
      </c>
      <c r="D70" t="str">
        <f>IF(COUNTIFS('Menu Details'!$B:$B,$A70,'Menu Details'!$C:$C,"Snacks")&gt;0,"✓","")</f>
        <v>✓</v>
      </c>
      <c r="E70" t="str">
        <f>IF(COUNTIFS('Menu Details'!$B:$B,$A70,'Menu Details'!$C:$C,"Dinner")&gt;0,"✓","")</f>
        <v>✓</v>
      </c>
    </row>
    <row r="71" spans="1:5" x14ac:dyDescent="0.25">
      <c r="A71" t="s">
        <v>214</v>
      </c>
      <c r="B71" t="str">
        <f>IF(COUNTIFS('Menu Details'!$B:$B,$A71,'Menu Details'!$C:$C,"Breakfast")&gt;0,"✓","")</f>
        <v>✓</v>
      </c>
      <c r="C71" t="str">
        <f>IF(COUNTIFS('Menu Details'!$B:$B,$A71,'Menu Details'!$C:$C,"Lunch")&gt;0,"✓","")</f>
        <v/>
      </c>
      <c r="D71" t="str">
        <f>IF(COUNTIFS('Menu Details'!$B:$B,$A71,'Menu Details'!$C:$C,"Snacks")&gt;0,"✓","")</f>
        <v>✓</v>
      </c>
      <c r="E71" t="str">
        <f>IF(COUNTIFS('Menu Details'!$B:$B,$A71,'Menu Details'!$C:$C,"Dinner")&gt;0,"✓","")</f>
        <v>✓</v>
      </c>
    </row>
    <row r="72" spans="1:5" x14ac:dyDescent="0.25">
      <c r="A72" t="s">
        <v>217</v>
      </c>
      <c r="B72" t="str">
        <f>IF(COUNTIFS('Menu Details'!$B:$B,$A72,'Menu Details'!$C:$C,"Breakfast")&gt;0,"✓","")</f>
        <v>✓</v>
      </c>
      <c r="C72" t="str">
        <f>IF(COUNTIFS('Menu Details'!$B:$B,$A72,'Menu Details'!$C:$C,"Lunch")&gt;0,"✓","")</f>
        <v/>
      </c>
      <c r="D72" t="str">
        <f>IF(COUNTIFS('Menu Details'!$B:$B,$A72,'Menu Details'!$C:$C,"Snacks")&gt;0,"✓","")</f>
        <v>✓</v>
      </c>
      <c r="E72" t="str">
        <f>IF(COUNTIFS('Menu Details'!$B:$B,$A72,'Menu Details'!$C:$C,"Dinner")&gt;0,"✓","")</f>
        <v>✓</v>
      </c>
    </row>
    <row r="73" spans="1:5" x14ac:dyDescent="0.25">
      <c r="A73" t="s">
        <v>220</v>
      </c>
      <c r="B73" t="str">
        <f>IF(COUNTIFS('Menu Details'!$B:$B,$A73,'Menu Details'!$C:$C,"Breakfast")&gt;0,"✓","")</f>
        <v>✓</v>
      </c>
      <c r="C73" t="str">
        <f>IF(COUNTIFS('Menu Details'!$B:$B,$A73,'Menu Details'!$C:$C,"Lunch")&gt;0,"✓","")</f>
        <v>✓</v>
      </c>
      <c r="D73" t="str">
        <f>IF(COUNTIFS('Menu Details'!$B:$B,$A73,'Menu Details'!$C:$C,"Snacks")&gt;0,"✓","")</f>
        <v>✓</v>
      </c>
      <c r="E73" t="str">
        <f>IF(COUNTIFS('Menu Details'!$B:$B,$A73,'Menu Details'!$C:$C,"Dinner")&gt;0,"✓","")</f>
        <v>✓</v>
      </c>
    </row>
    <row r="74" spans="1:5" x14ac:dyDescent="0.25">
      <c r="A74" t="s">
        <v>222</v>
      </c>
      <c r="B74" t="str">
        <f>IF(COUNTIFS('Menu Details'!$B:$B,$A74,'Menu Details'!$C:$C,"Breakfast")&gt;0,"✓","")</f>
        <v>✓</v>
      </c>
      <c r="C74" t="str">
        <f>IF(COUNTIFS('Menu Details'!$B:$B,$A74,'Menu Details'!$C:$C,"Lunch")&gt;0,"✓","")</f>
        <v>✓</v>
      </c>
      <c r="D74" t="str">
        <f>IF(COUNTIFS('Menu Details'!$B:$B,$A74,'Menu Details'!$C:$C,"Snacks")&gt;0,"✓","")</f>
        <v>✓</v>
      </c>
      <c r="E74" t="str">
        <f>IF(COUNTIFS('Menu Details'!$B:$B,$A74,'Menu Details'!$C:$C,"Dinner")&gt;0,"✓","")</f>
        <v>✓</v>
      </c>
    </row>
    <row r="75" spans="1:5" x14ac:dyDescent="0.25">
      <c r="A75" t="s">
        <v>225</v>
      </c>
      <c r="B75" t="str">
        <f>IF(COUNTIFS('Menu Details'!$B:$B,$A75,'Menu Details'!$C:$C,"Breakfast")&gt;0,"✓","")</f>
        <v/>
      </c>
      <c r="C75" t="str">
        <f>IF(COUNTIFS('Menu Details'!$B:$B,$A75,'Menu Details'!$C:$C,"Lunch")&gt;0,"✓","")</f>
        <v>✓</v>
      </c>
      <c r="D75" t="str">
        <f>IF(COUNTIFS('Menu Details'!$B:$B,$A75,'Menu Details'!$C:$C,"Snacks")&gt;0,"✓","")</f>
        <v/>
      </c>
      <c r="E75" t="str">
        <f>IF(COUNTIFS('Menu Details'!$B:$B,$A75,'Menu Details'!$C:$C,"Dinner")&gt;0,"✓","")</f>
        <v>✓</v>
      </c>
    </row>
    <row r="76" spans="1:5" x14ac:dyDescent="0.25">
      <c r="A76" t="s">
        <v>228</v>
      </c>
      <c r="B76" t="str">
        <f>IF(COUNTIFS('Menu Details'!$B:$B,$A76,'Menu Details'!$C:$C,"Breakfast")&gt;0,"✓","")</f>
        <v>✓</v>
      </c>
      <c r="C76" t="str">
        <f>IF(COUNTIFS('Menu Details'!$B:$B,$A76,'Menu Details'!$C:$C,"Lunch")&gt;0,"✓","")</f>
        <v>✓</v>
      </c>
      <c r="D76" t="str">
        <f>IF(COUNTIFS('Menu Details'!$B:$B,$A76,'Menu Details'!$C:$C,"Snacks")&gt;0,"✓","")</f>
        <v/>
      </c>
      <c r="E76" t="str">
        <f>IF(COUNTIFS('Menu Details'!$B:$B,$A76,'Menu Details'!$C:$C,"Dinner")&gt;0,"✓","")</f>
        <v>✓</v>
      </c>
    </row>
    <row r="77" spans="1:5" x14ac:dyDescent="0.25">
      <c r="A77" t="s">
        <v>231</v>
      </c>
      <c r="B77" t="str">
        <f>IF(COUNTIFS('Menu Details'!$B:$B,$A77,'Menu Details'!$C:$C,"Breakfast")&gt;0,"✓","")</f>
        <v/>
      </c>
      <c r="C77" t="str">
        <f>IF(COUNTIFS('Menu Details'!$B:$B,$A77,'Menu Details'!$C:$C,"Lunch")&gt;0,"✓","")</f>
        <v>✓</v>
      </c>
      <c r="D77" t="str">
        <f>IF(COUNTIFS('Menu Details'!$B:$B,$A77,'Menu Details'!$C:$C,"Snacks")&gt;0,"✓","")</f>
        <v/>
      </c>
      <c r="E77" t="str">
        <f>IF(COUNTIFS('Menu Details'!$B:$B,$A77,'Menu Details'!$C:$C,"Dinner")&gt;0,"✓","")</f>
        <v>✓</v>
      </c>
    </row>
    <row r="78" spans="1:5" x14ac:dyDescent="0.25">
      <c r="A78" t="s">
        <v>234</v>
      </c>
      <c r="B78" t="str">
        <f>IF(COUNTIFS('Menu Details'!$B:$B,$A78,'Menu Details'!$C:$C,"Breakfast")&gt;0,"✓","")</f>
        <v/>
      </c>
      <c r="C78" t="str">
        <f>IF(COUNTIFS('Menu Details'!$B:$B,$A78,'Menu Details'!$C:$C,"Lunch")&gt;0,"✓","")</f>
        <v>✓</v>
      </c>
      <c r="D78" t="str">
        <f>IF(COUNTIFS('Menu Details'!$B:$B,$A78,'Menu Details'!$C:$C,"Snacks")&gt;0,"✓","")</f>
        <v/>
      </c>
      <c r="E78" t="str">
        <f>IF(COUNTIFS('Menu Details'!$B:$B,$A78,'Menu Details'!$C:$C,"Dinner")&gt;0,"✓","")</f>
        <v>✓</v>
      </c>
    </row>
    <row r="79" spans="1:5" x14ac:dyDescent="0.25">
      <c r="A79" t="s">
        <v>237</v>
      </c>
      <c r="B79" t="str">
        <f>IF(COUNTIFS('Menu Details'!$B:$B,$A79,'Menu Details'!$C:$C,"Breakfast")&gt;0,"✓","")</f>
        <v/>
      </c>
      <c r="C79" t="str">
        <f>IF(COUNTIFS('Menu Details'!$B:$B,$A79,'Menu Details'!$C:$C,"Lunch")&gt;0,"✓","")</f>
        <v>✓</v>
      </c>
      <c r="D79" t="str">
        <f>IF(COUNTIFS('Menu Details'!$B:$B,$A79,'Menu Details'!$C:$C,"Snacks")&gt;0,"✓","")</f>
        <v/>
      </c>
      <c r="E79" t="str">
        <f>IF(COUNTIFS('Menu Details'!$B:$B,$A79,'Menu Details'!$C:$C,"Dinner")&gt;0,"✓","")</f>
        <v>✓</v>
      </c>
    </row>
    <row r="80" spans="1:5" x14ac:dyDescent="0.25">
      <c r="A80" t="s">
        <v>240</v>
      </c>
      <c r="B80" t="str">
        <f>IF(COUNTIFS('Menu Details'!$B:$B,$A80,'Menu Details'!$C:$C,"Breakfast")&gt;0,"✓","")</f>
        <v/>
      </c>
      <c r="C80" t="str">
        <f>IF(COUNTIFS('Menu Details'!$B:$B,$A80,'Menu Details'!$C:$C,"Lunch")&gt;0,"✓","")</f>
        <v>✓</v>
      </c>
      <c r="D80" t="str">
        <f>IF(COUNTIFS('Menu Details'!$B:$B,$A80,'Menu Details'!$C:$C,"Snacks")&gt;0,"✓","")</f>
        <v/>
      </c>
      <c r="E80" t="str">
        <f>IF(COUNTIFS('Menu Details'!$B:$B,$A80,'Menu Details'!$C:$C,"Dinner")&gt;0,"✓","")</f>
        <v>✓</v>
      </c>
    </row>
    <row r="81" spans="1:5" x14ac:dyDescent="0.25">
      <c r="A81" t="s">
        <v>243</v>
      </c>
      <c r="B81" t="str">
        <f>IF(COUNTIFS('Menu Details'!$B:$B,$A81,'Menu Details'!$C:$C,"Breakfast")&gt;0,"✓","")</f>
        <v/>
      </c>
      <c r="C81" t="str">
        <f>IF(COUNTIFS('Menu Details'!$B:$B,$A81,'Menu Details'!$C:$C,"Lunch")&gt;0,"✓","")</f>
        <v>✓</v>
      </c>
      <c r="D81" t="str">
        <f>IF(COUNTIFS('Menu Details'!$B:$B,$A81,'Menu Details'!$C:$C,"Snacks")&gt;0,"✓","")</f>
        <v>✓</v>
      </c>
      <c r="E81" t="str">
        <f>IF(COUNTIFS('Menu Details'!$B:$B,$A81,'Menu Details'!$C:$C,"Dinner")&gt;0,"✓","")</f>
        <v>✓</v>
      </c>
    </row>
    <row r="82" spans="1:5" x14ac:dyDescent="0.25">
      <c r="A82" t="s">
        <v>246</v>
      </c>
      <c r="B82" t="str">
        <f>IF(COUNTIFS('Menu Details'!$B:$B,$A82,'Menu Details'!$C:$C,"Breakfast")&gt;0,"✓","")</f>
        <v/>
      </c>
      <c r="C82" t="str">
        <f>IF(COUNTIFS('Menu Details'!$B:$B,$A82,'Menu Details'!$C:$C,"Lunch")&gt;0,"✓","")</f>
        <v>✓</v>
      </c>
      <c r="D82" t="str">
        <f>IF(COUNTIFS('Menu Details'!$B:$B,$A82,'Menu Details'!$C:$C,"Snacks")&gt;0,"✓","")</f>
        <v/>
      </c>
      <c r="E82" t="str">
        <f>IF(COUNTIFS('Menu Details'!$B:$B,$A82,'Menu Details'!$C:$C,"Dinner")&gt;0,"✓","")</f>
        <v>✓</v>
      </c>
    </row>
    <row r="83" spans="1:5" x14ac:dyDescent="0.25">
      <c r="A83" t="s">
        <v>249</v>
      </c>
      <c r="B83" t="str">
        <f>IF(COUNTIFS('Menu Details'!$B:$B,$A83,'Menu Details'!$C:$C,"Breakfast")&gt;0,"✓","")</f>
        <v/>
      </c>
      <c r="C83" t="str">
        <f>IF(COUNTIFS('Menu Details'!$B:$B,$A83,'Menu Details'!$C:$C,"Lunch")&gt;0,"✓","")</f>
        <v>✓</v>
      </c>
      <c r="D83" t="str">
        <f>IF(COUNTIFS('Menu Details'!$B:$B,$A83,'Menu Details'!$C:$C,"Snacks")&gt;0,"✓","")</f>
        <v/>
      </c>
      <c r="E83" t="str">
        <f>IF(COUNTIFS('Menu Details'!$B:$B,$A83,'Menu Details'!$C:$C,"Dinner")&gt;0,"✓","")</f>
        <v>✓</v>
      </c>
    </row>
    <row r="84" spans="1:5" x14ac:dyDescent="0.25">
      <c r="A84" t="s">
        <v>252</v>
      </c>
      <c r="B84" t="str">
        <f>IF(COUNTIFS('Menu Details'!$B:$B,$A84,'Menu Details'!$C:$C,"Breakfast")&gt;0,"✓","")</f>
        <v/>
      </c>
      <c r="C84" t="str">
        <f>IF(COUNTIFS('Menu Details'!$B:$B,$A84,'Menu Details'!$C:$C,"Lunch")&gt;0,"✓","")</f>
        <v>✓</v>
      </c>
      <c r="D84" t="str">
        <f>IF(COUNTIFS('Menu Details'!$B:$B,$A84,'Menu Details'!$C:$C,"Snacks")&gt;0,"✓","")</f>
        <v/>
      </c>
      <c r="E84" t="str">
        <f>IF(COUNTIFS('Menu Details'!$B:$B,$A84,'Menu Details'!$C:$C,"Dinner")&gt;0,"✓","")</f>
        <v>✓</v>
      </c>
    </row>
    <row r="85" spans="1:5" x14ac:dyDescent="0.25">
      <c r="A85" t="s">
        <v>255</v>
      </c>
      <c r="B85" t="str">
        <f>IF(COUNTIFS('Menu Details'!$B:$B,$A85,'Menu Details'!$C:$C,"Breakfast")&gt;0,"✓","")</f>
        <v/>
      </c>
      <c r="C85" t="str">
        <f>IF(COUNTIFS('Menu Details'!$B:$B,$A85,'Menu Details'!$C:$C,"Lunch")&gt;0,"✓","")</f>
        <v>✓</v>
      </c>
      <c r="D85" t="str">
        <f>IF(COUNTIFS('Menu Details'!$B:$B,$A85,'Menu Details'!$C:$C,"Snacks")&gt;0,"✓","")</f>
        <v/>
      </c>
      <c r="E85" t="str">
        <f>IF(COUNTIFS('Menu Details'!$B:$B,$A85,'Menu Details'!$C:$C,"Dinner")&gt;0,"✓","")</f>
        <v>✓</v>
      </c>
    </row>
    <row r="86" spans="1:5" x14ac:dyDescent="0.25">
      <c r="A86" t="s">
        <v>258</v>
      </c>
      <c r="B86" t="str">
        <f>IF(COUNTIFS('Menu Details'!$B:$B,$A86,'Menu Details'!$C:$C,"Breakfast")&gt;0,"✓","")</f>
        <v/>
      </c>
      <c r="C86" t="str">
        <f>IF(COUNTIFS('Menu Details'!$B:$B,$A86,'Menu Details'!$C:$C,"Lunch")&gt;0,"✓","")</f>
        <v>✓</v>
      </c>
      <c r="D86" t="str">
        <f>IF(COUNTIFS('Menu Details'!$B:$B,$A86,'Menu Details'!$C:$C,"Snacks")&gt;0,"✓","")</f>
        <v/>
      </c>
      <c r="E86" t="str">
        <f>IF(COUNTIFS('Menu Details'!$B:$B,$A86,'Menu Details'!$C:$C,"Dinner")&gt;0,"✓","")</f>
        <v>✓</v>
      </c>
    </row>
    <row r="87" spans="1:5" x14ac:dyDescent="0.25">
      <c r="A87" t="s">
        <v>261</v>
      </c>
      <c r="B87" t="str">
        <f>IF(COUNTIFS('Menu Details'!$B:$B,$A87,'Menu Details'!$C:$C,"Breakfast")&gt;0,"✓","")</f>
        <v/>
      </c>
      <c r="C87" t="str">
        <f>IF(COUNTIFS('Menu Details'!$B:$B,$A87,'Menu Details'!$C:$C,"Lunch")&gt;0,"✓","")</f>
        <v>✓</v>
      </c>
      <c r="D87" t="str">
        <f>IF(COUNTIFS('Menu Details'!$B:$B,$A87,'Menu Details'!$C:$C,"Snacks")&gt;0,"✓","")</f>
        <v/>
      </c>
      <c r="E87" t="str">
        <f>IF(COUNTIFS('Menu Details'!$B:$B,$A87,'Menu Details'!$C:$C,"Dinner")&gt;0,"✓","")</f>
        <v/>
      </c>
    </row>
    <row r="88" spans="1:5" x14ac:dyDescent="0.25">
      <c r="A88" t="s">
        <v>264</v>
      </c>
      <c r="B88" t="str">
        <f>IF(COUNTIFS('Menu Details'!$B:$B,$A88,'Menu Details'!$C:$C,"Breakfast")&gt;0,"✓","")</f>
        <v/>
      </c>
      <c r="C88" t="str">
        <f>IF(COUNTIFS('Menu Details'!$B:$B,$A88,'Menu Details'!$C:$C,"Lunch")&gt;0,"✓","")</f>
        <v>✓</v>
      </c>
      <c r="D88" t="str">
        <f>IF(COUNTIFS('Menu Details'!$B:$B,$A88,'Menu Details'!$C:$C,"Snacks")&gt;0,"✓","")</f>
        <v/>
      </c>
      <c r="E88" t="str">
        <f>IF(COUNTIFS('Menu Details'!$B:$B,$A88,'Menu Details'!$C:$C,"Dinner")&gt;0,"✓","")</f>
        <v/>
      </c>
    </row>
    <row r="89" spans="1:5" x14ac:dyDescent="0.25">
      <c r="A89" t="s">
        <v>267</v>
      </c>
      <c r="B89" t="str">
        <f>IF(COUNTIFS('Menu Details'!$B:$B,$A89,'Menu Details'!$C:$C,"Breakfast")&gt;0,"✓","")</f>
        <v/>
      </c>
      <c r="C89" t="str">
        <f>IF(COUNTIFS('Menu Details'!$B:$B,$A89,'Menu Details'!$C:$C,"Lunch")&gt;0,"✓","")</f>
        <v>✓</v>
      </c>
      <c r="D89" t="str">
        <f>IF(COUNTIFS('Menu Details'!$B:$B,$A89,'Menu Details'!$C:$C,"Snacks")&gt;0,"✓","")</f>
        <v/>
      </c>
      <c r="E89" t="str">
        <f>IF(COUNTIFS('Menu Details'!$B:$B,$A89,'Menu Details'!$C:$C,"Dinner")&gt;0,"✓","")</f>
        <v>✓</v>
      </c>
    </row>
    <row r="90" spans="1:5" x14ac:dyDescent="0.25">
      <c r="A90" t="s">
        <v>270</v>
      </c>
      <c r="B90" t="str">
        <f>IF(COUNTIFS('Menu Details'!$B:$B,$A90,'Menu Details'!$C:$C,"Breakfast")&gt;0,"✓","")</f>
        <v/>
      </c>
      <c r="C90" t="str">
        <f>IF(COUNTIFS('Menu Details'!$B:$B,$A90,'Menu Details'!$C:$C,"Lunch")&gt;0,"✓","")</f>
        <v>✓</v>
      </c>
      <c r="D90" t="str">
        <f>IF(COUNTIFS('Menu Details'!$B:$B,$A90,'Menu Details'!$C:$C,"Snacks")&gt;0,"✓","")</f>
        <v/>
      </c>
      <c r="E90" t="str">
        <f>IF(COUNTIFS('Menu Details'!$B:$B,$A90,'Menu Details'!$C:$C,"Dinner")&gt;0,"✓","")</f>
        <v>✓</v>
      </c>
    </row>
    <row r="91" spans="1:5" x14ac:dyDescent="0.25">
      <c r="A91" t="s">
        <v>273</v>
      </c>
      <c r="B91" t="str">
        <f>IF(COUNTIFS('Menu Details'!$B:$B,$A91,'Menu Details'!$C:$C,"Breakfast")&gt;0,"✓","")</f>
        <v/>
      </c>
      <c r="C91" t="str">
        <f>IF(COUNTIFS('Menu Details'!$B:$B,$A91,'Menu Details'!$C:$C,"Lunch")&gt;0,"✓","")</f>
        <v>✓</v>
      </c>
      <c r="D91" t="str">
        <f>IF(COUNTIFS('Menu Details'!$B:$B,$A91,'Menu Details'!$C:$C,"Snacks")&gt;0,"✓","")</f>
        <v/>
      </c>
      <c r="E91" t="str">
        <f>IF(COUNTIFS('Menu Details'!$B:$B,$A91,'Menu Details'!$C:$C,"Dinner")&gt;0,"✓","")</f>
        <v>✓</v>
      </c>
    </row>
    <row r="92" spans="1:5" x14ac:dyDescent="0.25">
      <c r="A92" t="s">
        <v>276</v>
      </c>
      <c r="B92" t="str">
        <f>IF(COUNTIFS('Menu Details'!$B:$B,$A92,'Menu Details'!$C:$C,"Breakfast")&gt;0,"✓","")</f>
        <v/>
      </c>
      <c r="C92" t="str">
        <f>IF(COUNTIFS('Menu Details'!$B:$B,$A92,'Menu Details'!$C:$C,"Lunch")&gt;0,"✓","")</f>
        <v>✓</v>
      </c>
      <c r="D92" t="str">
        <f>IF(COUNTIFS('Menu Details'!$B:$B,$A92,'Menu Details'!$C:$C,"Snacks")&gt;0,"✓","")</f>
        <v>✓</v>
      </c>
      <c r="E92" t="str">
        <f>IF(COUNTIFS('Menu Details'!$B:$B,$A92,'Menu Details'!$C:$C,"Dinner")&gt;0,"✓","")</f>
        <v>✓</v>
      </c>
    </row>
    <row r="93" spans="1:5" x14ac:dyDescent="0.25">
      <c r="A93" t="s">
        <v>279</v>
      </c>
      <c r="B93" t="str">
        <f>IF(COUNTIFS('Menu Details'!$B:$B,$A93,'Menu Details'!$C:$C,"Breakfast")&gt;0,"✓","")</f>
        <v/>
      </c>
      <c r="C93" t="str">
        <f>IF(COUNTIFS('Menu Details'!$B:$B,$A93,'Menu Details'!$C:$C,"Lunch")&gt;0,"✓","")</f>
        <v>✓</v>
      </c>
      <c r="D93" t="str">
        <f>IF(COUNTIFS('Menu Details'!$B:$B,$A93,'Menu Details'!$C:$C,"Snacks")&gt;0,"✓","")</f>
        <v/>
      </c>
      <c r="E93" t="str">
        <f>IF(COUNTIFS('Menu Details'!$B:$B,$A93,'Menu Details'!$C:$C,"Dinner")&gt;0,"✓","")</f>
        <v>✓</v>
      </c>
    </row>
    <row r="94" spans="1:5" x14ac:dyDescent="0.25">
      <c r="A94" t="s">
        <v>282</v>
      </c>
      <c r="B94" t="str">
        <f>IF(COUNTIFS('Menu Details'!$B:$B,$A94,'Menu Details'!$C:$C,"Breakfast")&gt;0,"✓","")</f>
        <v/>
      </c>
      <c r="C94" t="str">
        <f>IF(COUNTIFS('Menu Details'!$B:$B,$A94,'Menu Details'!$C:$C,"Lunch")&gt;0,"✓","")</f>
        <v>✓</v>
      </c>
      <c r="D94" t="str">
        <f>IF(COUNTIFS('Menu Details'!$B:$B,$A94,'Menu Details'!$C:$C,"Snacks")&gt;0,"✓","")</f>
        <v/>
      </c>
      <c r="E94" t="str">
        <f>IF(COUNTIFS('Menu Details'!$B:$B,$A94,'Menu Details'!$C:$C,"Dinner")&gt;0,"✓","")</f>
        <v>✓</v>
      </c>
    </row>
    <row r="95" spans="1:5" x14ac:dyDescent="0.25">
      <c r="A95" t="s">
        <v>285</v>
      </c>
      <c r="B95" t="str">
        <f>IF(COUNTIFS('Menu Details'!$B:$B,$A95,'Menu Details'!$C:$C,"Breakfast")&gt;0,"✓","")</f>
        <v/>
      </c>
      <c r="C95" t="str">
        <f>IF(COUNTIFS('Menu Details'!$B:$B,$A95,'Menu Details'!$C:$C,"Lunch")&gt;0,"✓","")</f>
        <v>✓</v>
      </c>
      <c r="D95" t="str">
        <f>IF(COUNTIFS('Menu Details'!$B:$B,$A95,'Menu Details'!$C:$C,"Snacks")&gt;0,"✓","")</f>
        <v/>
      </c>
      <c r="E95" t="str">
        <f>IF(COUNTIFS('Menu Details'!$B:$B,$A95,'Menu Details'!$C:$C,"Dinner")&gt;0,"✓","")</f>
        <v>✓</v>
      </c>
    </row>
    <row r="96" spans="1:5" x14ac:dyDescent="0.25">
      <c r="A96" t="s">
        <v>288</v>
      </c>
      <c r="B96" t="str">
        <f>IF(COUNTIFS('Menu Details'!$B:$B,$A96,'Menu Details'!$C:$C,"Breakfast")&gt;0,"✓","")</f>
        <v/>
      </c>
      <c r="C96" t="str">
        <f>IF(COUNTIFS('Menu Details'!$B:$B,$A96,'Menu Details'!$C:$C,"Lunch")&gt;0,"✓","")</f>
        <v>✓</v>
      </c>
      <c r="D96" t="str">
        <f>IF(COUNTIFS('Menu Details'!$B:$B,$A96,'Menu Details'!$C:$C,"Snacks")&gt;0,"✓","")</f>
        <v/>
      </c>
      <c r="E96" t="str">
        <f>IF(COUNTIFS('Menu Details'!$B:$B,$A96,'Menu Details'!$C:$C,"Dinner")&gt;0,"✓","")</f>
        <v>✓</v>
      </c>
    </row>
    <row r="97" spans="1:5" x14ac:dyDescent="0.25">
      <c r="A97" t="s">
        <v>291</v>
      </c>
      <c r="B97" t="str">
        <f>IF(COUNTIFS('Menu Details'!$B:$B,$A97,'Menu Details'!$C:$C,"Breakfast")&gt;0,"✓","")</f>
        <v/>
      </c>
      <c r="C97" t="str">
        <f>IF(COUNTIFS('Menu Details'!$B:$B,$A97,'Menu Details'!$C:$C,"Lunch")&gt;0,"✓","")</f>
        <v>✓</v>
      </c>
      <c r="D97" t="str">
        <f>IF(COUNTIFS('Menu Details'!$B:$B,$A97,'Menu Details'!$C:$C,"Snacks")&gt;0,"✓","")</f>
        <v>✓</v>
      </c>
      <c r="E97" t="str">
        <f>IF(COUNTIFS('Menu Details'!$B:$B,$A97,'Menu Details'!$C:$C,"Dinner")&gt;0,"✓","")</f>
        <v>✓</v>
      </c>
    </row>
    <row r="98" spans="1:5" x14ac:dyDescent="0.25">
      <c r="A98" t="s">
        <v>294</v>
      </c>
      <c r="B98" t="str">
        <f>IF(COUNTIFS('Menu Details'!$B:$B,$A98,'Menu Details'!$C:$C,"Breakfast")&gt;0,"✓","")</f>
        <v>✓</v>
      </c>
      <c r="C98" t="str">
        <f>IF(COUNTIFS('Menu Details'!$B:$B,$A98,'Menu Details'!$C:$C,"Lunch")&gt;0,"✓","")</f>
        <v/>
      </c>
      <c r="D98" t="str">
        <f>IF(COUNTIFS('Menu Details'!$B:$B,$A98,'Menu Details'!$C:$C,"Snacks")&gt;0,"✓","")</f>
        <v/>
      </c>
      <c r="E98" t="str">
        <f>IF(COUNTIFS('Menu Details'!$B:$B,$A98,'Menu Details'!$C:$C,"Dinner")&gt;0,"✓","")</f>
        <v>✓</v>
      </c>
    </row>
    <row r="99" spans="1:5" x14ac:dyDescent="0.25">
      <c r="A99" t="s">
        <v>297</v>
      </c>
      <c r="B99" t="str">
        <f>IF(COUNTIFS('Menu Details'!$B:$B,$A99,'Menu Details'!$C:$C,"Breakfast")&gt;0,"✓","")</f>
        <v/>
      </c>
      <c r="C99" t="str">
        <f>IF(COUNTIFS('Menu Details'!$B:$B,$A99,'Menu Details'!$C:$C,"Lunch")&gt;0,"✓","")</f>
        <v/>
      </c>
      <c r="D99" t="str">
        <f>IF(COUNTIFS('Menu Details'!$B:$B,$A99,'Menu Details'!$C:$C,"Snacks")&gt;0,"✓","")</f>
        <v>✓</v>
      </c>
      <c r="E99" t="str">
        <f>IF(COUNTIFS('Menu Details'!$B:$B,$A99,'Menu Details'!$C:$C,"Dinner")&gt;0,"✓","")</f>
        <v>✓</v>
      </c>
    </row>
    <row r="100" spans="1:5" x14ac:dyDescent="0.25">
      <c r="A100" t="s">
        <v>299</v>
      </c>
      <c r="B100" t="str">
        <f>IF(COUNTIFS('Menu Details'!$B:$B,$A100,'Menu Details'!$C:$C,"Breakfast")&gt;0,"✓","")</f>
        <v/>
      </c>
      <c r="C100" t="str">
        <f>IF(COUNTIFS('Menu Details'!$B:$B,$A100,'Menu Details'!$C:$C,"Lunch")&gt;0,"✓","")</f>
        <v>✓</v>
      </c>
      <c r="D100" t="str">
        <f>IF(COUNTIFS('Menu Details'!$B:$B,$A100,'Menu Details'!$C:$C,"Snacks")&gt;0,"✓","")</f>
        <v>✓</v>
      </c>
      <c r="E100" t="str">
        <f>IF(COUNTIFS('Menu Details'!$B:$B,$A100,'Menu Details'!$C:$C,"Dinner")&gt;0,"✓","")</f>
        <v>✓</v>
      </c>
    </row>
    <row r="101" spans="1:5" x14ac:dyDescent="0.25">
      <c r="A101" t="s">
        <v>302</v>
      </c>
      <c r="B101" t="str">
        <f>IF(COUNTIFS('Menu Details'!$B:$B,$A101,'Menu Details'!$C:$C,"Breakfast")&gt;0,"✓","")</f>
        <v/>
      </c>
      <c r="C101" t="str">
        <f>IF(COUNTIFS('Menu Details'!$B:$B,$A101,'Menu Details'!$C:$C,"Lunch")&gt;0,"✓","")</f>
        <v>✓</v>
      </c>
      <c r="D101" t="str">
        <f>IF(COUNTIFS('Menu Details'!$B:$B,$A101,'Menu Details'!$C:$C,"Snacks")&gt;0,"✓","")</f>
        <v/>
      </c>
      <c r="E101" t="str">
        <f>IF(COUNTIFS('Menu Details'!$B:$B,$A101,'Menu Details'!$C:$C,"Dinner")&gt;0,"✓","")</f>
        <v>✓</v>
      </c>
    </row>
    <row r="102" spans="1:5" x14ac:dyDescent="0.25">
      <c r="A102" t="s">
        <v>305</v>
      </c>
      <c r="B102" t="str">
        <f>IF(COUNTIFS('Menu Details'!$B:$B,$A102,'Menu Details'!$C:$C,"Breakfast")&gt;0,"✓","")</f>
        <v/>
      </c>
      <c r="C102" t="str">
        <f>IF(COUNTIFS('Menu Details'!$B:$B,$A102,'Menu Details'!$C:$C,"Lunch")&gt;0,"✓","")</f>
        <v>✓</v>
      </c>
      <c r="D102" t="str">
        <f>IF(COUNTIFS('Menu Details'!$B:$B,$A102,'Menu Details'!$C:$C,"Snacks")&gt;0,"✓","")</f>
        <v/>
      </c>
      <c r="E102" t="str">
        <f>IF(COUNTIFS('Menu Details'!$B:$B,$A102,'Menu Details'!$C:$C,"Dinner")&gt;0,"✓","")</f>
        <v>✓</v>
      </c>
    </row>
    <row r="103" spans="1:5" x14ac:dyDescent="0.25">
      <c r="A103" t="s">
        <v>503</v>
      </c>
      <c r="B103" t="str">
        <f>IF(COUNTIFS('Menu Details'!$B:$B,$A103,'Menu Details'!$C:$C,"Breakfast")&gt;0,"✓","")</f>
        <v/>
      </c>
      <c r="C103" t="str">
        <f>IF(COUNTIFS('Menu Details'!$B:$B,$A103,'Menu Details'!$C:$C,"Lunch")&gt;0,"✓","")</f>
        <v/>
      </c>
      <c r="D103" t="str">
        <f>IF(COUNTIFS('Menu Details'!$B:$B,$A103,'Menu Details'!$C:$C,"Snacks")&gt;0,"✓","")</f>
        <v/>
      </c>
      <c r="E103" t="str">
        <f>IF(COUNTIFS('Menu Details'!$B:$B,$A103,'Menu Details'!$C:$C,"Dinner")&gt;0,"✓","")</f>
        <v/>
      </c>
    </row>
    <row r="104" spans="1:5" x14ac:dyDescent="0.25">
      <c r="A104" t="s">
        <v>308</v>
      </c>
      <c r="B104" t="str">
        <f>IF(COUNTIFS('Menu Details'!$B:$B,$A104,'Menu Details'!$C:$C,"Breakfast")&gt;0,"✓","")</f>
        <v/>
      </c>
      <c r="C104" t="str">
        <f>IF(COUNTIFS('Menu Details'!$B:$B,$A104,'Menu Details'!$C:$C,"Lunch")&gt;0,"✓","")</f>
        <v>✓</v>
      </c>
      <c r="D104" t="str">
        <f>IF(COUNTIFS('Menu Details'!$B:$B,$A104,'Menu Details'!$C:$C,"Snacks")&gt;0,"✓","")</f>
        <v>✓</v>
      </c>
      <c r="E104" t="str">
        <f>IF(COUNTIFS('Menu Details'!$B:$B,$A104,'Menu Details'!$C:$C,"Dinner")&gt;0,"✓","")</f>
        <v>✓</v>
      </c>
    </row>
    <row r="105" spans="1:5" x14ac:dyDescent="0.25">
      <c r="A105" t="s">
        <v>311</v>
      </c>
      <c r="B105" t="str">
        <f>IF(COUNTIFS('Menu Details'!$B:$B,$A105,'Menu Details'!$C:$C,"Breakfast")&gt;0,"✓","")</f>
        <v/>
      </c>
      <c r="C105" t="str">
        <f>IF(COUNTIFS('Menu Details'!$B:$B,$A105,'Menu Details'!$C:$C,"Lunch")&gt;0,"✓","")</f>
        <v>✓</v>
      </c>
      <c r="D105" t="str">
        <f>IF(COUNTIFS('Menu Details'!$B:$B,$A105,'Menu Details'!$C:$C,"Snacks")&gt;0,"✓","")</f>
        <v/>
      </c>
      <c r="E105" t="str">
        <f>IF(COUNTIFS('Menu Details'!$B:$B,$A105,'Menu Details'!$C:$C,"Dinner")&gt;0,"✓","")</f>
        <v>✓</v>
      </c>
    </row>
    <row r="106" spans="1:5" x14ac:dyDescent="0.25">
      <c r="A106" t="s">
        <v>314</v>
      </c>
      <c r="B106" t="str">
        <f>IF(COUNTIFS('Menu Details'!$B:$B,$A106,'Menu Details'!$C:$C,"Breakfast")&gt;0,"✓","")</f>
        <v>✓</v>
      </c>
      <c r="C106" t="str">
        <f>IF(COUNTIFS('Menu Details'!$B:$B,$A106,'Menu Details'!$C:$C,"Lunch")&gt;0,"✓","")</f>
        <v/>
      </c>
      <c r="D106" t="str">
        <f>IF(COUNTIFS('Menu Details'!$B:$B,$A106,'Menu Details'!$C:$C,"Snacks")&gt;0,"✓","")</f>
        <v/>
      </c>
      <c r="E106" t="str">
        <f>IF(COUNTIFS('Menu Details'!$B:$B,$A106,'Menu Details'!$C:$C,"Dinner")&gt;0,"✓","")</f>
        <v>✓</v>
      </c>
    </row>
    <row r="107" spans="1:5" x14ac:dyDescent="0.25">
      <c r="A107" t="s">
        <v>317</v>
      </c>
      <c r="B107" t="str">
        <f>IF(COUNTIFS('Menu Details'!$B:$B,$A107,'Menu Details'!$C:$C,"Breakfast")&gt;0,"✓","")</f>
        <v/>
      </c>
      <c r="C107" t="str">
        <f>IF(COUNTIFS('Menu Details'!$B:$B,$A107,'Menu Details'!$C:$C,"Lunch")&gt;0,"✓","")</f>
        <v>✓</v>
      </c>
      <c r="D107" t="str">
        <f>IF(COUNTIFS('Menu Details'!$B:$B,$A107,'Menu Details'!$C:$C,"Snacks")&gt;0,"✓","")</f>
        <v/>
      </c>
      <c r="E107" t="str">
        <f>IF(COUNTIFS('Menu Details'!$B:$B,$A107,'Menu Details'!$C:$C,"Dinner")&gt;0,"✓","")</f>
        <v>✓</v>
      </c>
    </row>
    <row r="108" spans="1:5" x14ac:dyDescent="0.25">
      <c r="A108" t="s">
        <v>320</v>
      </c>
      <c r="B108" t="str">
        <f>IF(COUNTIFS('Menu Details'!$B:$B,$A108,'Menu Details'!$C:$C,"Breakfast")&gt;0,"✓","")</f>
        <v/>
      </c>
      <c r="C108" t="str">
        <f>IF(COUNTIFS('Menu Details'!$B:$B,$A108,'Menu Details'!$C:$C,"Lunch")&gt;0,"✓","")</f>
        <v>✓</v>
      </c>
      <c r="D108" t="str">
        <f>IF(COUNTIFS('Menu Details'!$B:$B,$A108,'Menu Details'!$C:$C,"Snacks")&gt;0,"✓","")</f>
        <v/>
      </c>
      <c r="E108" t="str">
        <f>IF(COUNTIFS('Menu Details'!$B:$B,$A108,'Menu Details'!$C:$C,"Dinner")&gt;0,"✓","")</f>
        <v>✓</v>
      </c>
    </row>
    <row r="109" spans="1:5" x14ac:dyDescent="0.25">
      <c r="A109" t="s">
        <v>323</v>
      </c>
      <c r="B109" t="str">
        <f>IF(COUNTIFS('Menu Details'!$B:$B,$A109,'Menu Details'!$C:$C,"Breakfast")&gt;0,"✓","")</f>
        <v/>
      </c>
      <c r="C109" t="str">
        <f>IF(COUNTIFS('Menu Details'!$B:$B,$A109,'Menu Details'!$C:$C,"Lunch")&gt;0,"✓","")</f>
        <v>✓</v>
      </c>
      <c r="D109" t="str">
        <f>IF(COUNTIFS('Menu Details'!$B:$B,$A109,'Menu Details'!$C:$C,"Snacks")&gt;0,"✓","")</f>
        <v>✓</v>
      </c>
      <c r="E109" t="str">
        <f>IF(COUNTIFS('Menu Details'!$B:$B,$A109,'Menu Details'!$C:$C,"Dinner")&gt;0,"✓","")</f>
        <v>✓</v>
      </c>
    </row>
    <row r="110" spans="1:5" x14ac:dyDescent="0.25">
      <c r="A110" t="s">
        <v>326</v>
      </c>
      <c r="B110" t="str">
        <f>IF(COUNTIFS('Menu Details'!$B:$B,$A110,'Menu Details'!$C:$C,"Breakfast")&gt;0,"✓","")</f>
        <v/>
      </c>
      <c r="C110" t="str">
        <f>IF(COUNTIFS('Menu Details'!$B:$B,$A110,'Menu Details'!$C:$C,"Lunch")&gt;0,"✓","")</f>
        <v>✓</v>
      </c>
      <c r="D110" t="str">
        <f>IF(COUNTIFS('Menu Details'!$B:$B,$A110,'Menu Details'!$C:$C,"Snacks")&gt;0,"✓","")</f>
        <v/>
      </c>
      <c r="E110" t="str">
        <f>IF(COUNTIFS('Menu Details'!$B:$B,$A110,'Menu Details'!$C:$C,"Dinner")&gt;0,"✓","")</f>
        <v>✓</v>
      </c>
    </row>
    <row r="111" spans="1:5" x14ac:dyDescent="0.25">
      <c r="A111" t="s">
        <v>329</v>
      </c>
      <c r="B111" t="str">
        <f>IF(COUNTIFS('Menu Details'!$B:$B,$A111,'Menu Details'!$C:$C,"Breakfast")&gt;0,"✓","")</f>
        <v/>
      </c>
      <c r="C111" t="str">
        <f>IF(COUNTIFS('Menu Details'!$B:$B,$A111,'Menu Details'!$C:$C,"Lunch")&gt;0,"✓","")</f>
        <v>✓</v>
      </c>
      <c r="D111" t="str">
        <f>IF(COUNTIFS('Menu Details'!$B:$B,$A111,'Menu Details'!$C:$C,"Snacks")&gt;0,"✓","")</f>
        <v/>
      </c>
      <c r="E111" t="str">
        <f>IF(COUNTIFS('Menu Details'!$B:$B,$A111,'Menu Details'!$C:$C,"Dinner")&gt;0,"✓","")</f>
        <v>✓</v>
      </c>
    </row>
    <row r="112" spans="1:5" x14ac:dyDescent="0.25">
      <c r="A112" t="s">
        <v>332</v>
      </c>
      <c r="B112" t="str">
        <f>IF(COUNTIFS('Menu Details'!$B:$B,$A112,'Menu Details'!$C:$C,"Breakfast")&gt;0,"✓","")</f>
        <v/>
      </c>
      <c r="C112" t="str">
        <f>IF(COUNTIFS('Menu Details'!$B:$B,$A112,'Menu Details'!$C:$C,"Lunch")&gt;0,"✓","")</f>
        <v>✓</v>
      </c>
      <c r="D112" t="str">
        <f>IF(COUNTIFS('Menu Details'!$B:$B,$A112,'Menu Details'!$C:$C,"Snacks")&gt;0,"✓","")</f>
        <v/>
      </c>
      <c r="E112" t="str">
        <f>IF(COUNTIFS('Menu Details'!$B:$B,$A112,'Menu Details'!$C:$C,"Dinner")&gt;0,"✓","")</f>
        <v>✓</v>
      </c>
    </row>
    <row r="113" spans="1:5" x14ac:dyDescent="0.25">
      <c r="A113" t="s">
        <v>335</v>
      </c>
      <c r="B113" t="str">
        <f>IF(COUNTIFS('Menu Details'!$B:$B,$A113,'Menu Details'!$C:$C,"Breakfast")&gt;0,"✓","")</f>
        <v>✓</v>
      </c>
      <c r="C113" t="str">
        <f>IF(COUNTIFS('Menu Details'!$B:$B,$A113,'Menu Details'!$C:$C,"Lunch")&gt;0,"✓","")</f>
        <v/>
      </c>
      <c r="D113" t="str">
        <f>IF(COUNTIFS('Menu Details'!$B:$B,$A113,'Menu Details'!$C:$C,"Snacks")&gt;0,"✓","")</f>
        <v/>
      </c>
      <c r="E113" t="str">
        <f>IF(COUNTIFS('Menu Details'!$B:$B,$A113,'Menu Details'!$C:$C,"Dinner")&gt;0,"✓","")</f>
        <v>✓</v>
      </c>
    </row>
    <row r="114" spans="1:5" x14ac:dyDescent="0.25">
      <c r="A114" t="s">
        <v>338</v>
      </c>
      <c r="B114" t="str">
        <f>IF(COUNTIFS('Menu Details'!$B:$B,$A114,'Menu Details'!$C:$C,"Breakfast")&gt;0,"✓","")</f>
        <v>✓</v>
      </c>
      <c r="C114" t="str">
        <f>IF(COUNTIFS('Menu Details'!$B:$B,$A114,'Menu Details'!$C:$C,"Lunch")&gt;0,"✓","")</f>
        <v/>
      </c>
      <c r="D114" t="str">
        <f>IF(COUNTIFS('Menu Details'!$B:$B,$A114,'Menu Details'!$C:$C,"Snacks")&gt;0,"✓","")</f>
        <v/>
      </c>
      <c r="E114" t="str">
        <f>IF(COUNTIFS('Menu Details'!$B:$B,$A114,'Menu Details'!$C:$C,"Dinner")&gt;0,"✓","")</f>
        <v>✓</v>
      </c>
    </row>
    <row r="115" spans="1:5" x14ac:dyDescent="0.25">
      <c r="A115" t="s">
        <v>341</v>
      </c>
      <c r="B115" t="str">
        <f>IF(COUNTIFS('Menu Details'!$B:$B,$A115,'Menu Details'!$C:$C,"Breakfast")&gt;0,"✓","")</f>
        <v/>
      </c>
      <c r="C115" t="str">
        <f>IF(COUNTIFS('Menu Details'!$B:$B,$A115,'Menu Details'!$C:$C,"Lunch")&gt;0,"✓","")</f>
        <v>✓</v>
      </c>
      <c r="D115" t="str">
        <f>IF(COUNTIFS('Menu Details'!$B:$B,$A115,'Menu Details'!$C:$C,"Snacks")&gt;0,"✓","")</f>
        <v/>
      </c>
      <c r="E115" t="str">
        <f>IF(COUNTIFS('Menu Details'!$B:$B,$A115,'Menu Details'!$C:$C,"Dinner")&gt;0,"✓","")</f>
        <v>✓</v>
      </c>
    </row>
    <row r="116" spans="1:5" x14ac:dyDescent="0.25">
      <c r="A116" t="s">
        <v>504</v>
      </c>
      <c r="B116" t="str">
        <f>IF(COUNTIFS('Menu Details'!$B:$B,$A116,'Menu Details'!$C:$C,"Breakfast")&gt;0,"✓","")</f>
        <v/>
      </c>
      <c r="C116" t="str">
        <f>IF(COUNTIFS('Menu Details'!$B:$B,$A116,'Menu Details'!$C:$C,"Lunch")&gt;0,"✓","")</f>
        <v/>
      </c>
      <c r="D116" t="str">
        <f>IF(COUNTIFS('Menu Details'!$B:$B,$A116,'Menu Details'!$C:$C,"Snacks")&gt;0,"✓","")</f>
        <v/>
      </c>
      <c r="E116" t="str">
        <f>IF(COUNTIFS('Menu Details'!$B:$B,$A116,'Menu Details'!$C:$C,"Dinner")&gt;0,"✓","")</f>
        <v/>
      </c>
    </row>
    <row r="117" spans="1:5" x14ac:dyDescent="0.25">
      <c r="A117" t="s">
        <v>347</v>
      </c>
      <c r="B117" t="str">
        <f>IF(COUNTIFS('Menu Details'!$B:$B,$A117,'Menu Details'!$C:$C,"Breakfast")&gt;0,"✓","")</f>
        <v/>
      </c>
      <c r="C117" t="str">
        <f>IF(COUNTIFS('Menu Details'!$B:$B,$A117,'Menu Details'!$C:$C,"Lunch")&gt;0,"✓","")</f>
        <v>✓</v>
      </c>
      <c r="D117" t="str">
        <f>IF(COUNTIFS('Menu Details'!$B:$B,$A117,'Menu Details'!$C:$C,"Snacks")&gt;0,"✓","")</f>
        <v/>
      </c>
      <c r="E117" t="str">
        <f>IF(COUNTIFS('Menu Details'!$B:$B,$A117,'Menu Details'!$C:$C,"Dinner")&gt;0,"✓","")</f>
        <v>✓</v>
      </c>
    </row>
    <row r="118" spans="1:5" x14ac:dyDescent="0.25">
      <c r="A118" t="s">
        <v>350</v>
      </c>
      <c r="B118" t="str">
        <f>IF(COUNTIFS('Menu Details'!$B:$B,$A118,'Menu Details'!$C:$C,"Breakfast")&gt;0,"✓","")</f>
        <v/>
      </c>
      <c r="C118" t="str">
        <f>IF(COUNTIFS('Menu Details'!$B:$B,$A118,'Menu Details'!$C:$C,"Lunch")&gt;0,"✓","")</f>
        <v>✓</v>
      </c>
      <c r="D118" t="str">
        <f>IF(COUNTIFS('Menu Details'!$B:$B,$A118,'Menu Details'!$C:$C,"Snacks")&gt;0,"✓","")</f>
        <v/>
      </c>
      <c r="E118" t="str">
        <f>IF(COUNTIFS('Menu Details'!$B:$B,$A118,'Menu Details'!$C:$C,"Dinner")&gt;0,"✓","")</f>
        <v>✓</v>
      </c>
    </row>
    <row r="119" spans="1:5" x14ac:dyDescent="0.25">
      <c r="A119" t="s">
        <v>353</v>
      </c>
      <c r="B119" t="str">
        <f>IF(COUNTIFS('Menu Details'!$B:$B,$A119,'Menu Details'!$C:$C,"Breakfast")&gt;0,"✓","")</f>
        <v/>
      </c>
      <c r="C119" t="str">
        <f>IF(COUNTIFS('Menu Details'!$B:$B,$A119,'Menu Details'!$C:$C,"Lunch")&gt;0,"✓","")</f>
        <v>✓</v>
      </c>
      <c r="D119" t="str">
        <f>IF(COUNTIFS('Menu Details'!$B:$B,$A119,'Menu Details'!$C:$C,"Snacks")&gt;0,"✓","")</f>
        <v/>
      </c>
      <c r="E119" t="str">
        <f>IF(COUNTIFS('Menu Details'!$B:$B,$A119,'Menu Details'!$C:$C,"Dinner")&gt;0,"✓","")</f>
        <v/>
      </c>
    </row>
    <row r="120" spans="1:5" x14ac:dyDescent="0.25">
      <c r="A120" t="s">
        <v>356</v>
      </c>
      <c r="B120" t="str">
        <f>IF(COUNTIFS('Menu Details'!$B:$B,$A120,'Menu Details'!$C:$C,"Breakfast")&gt;0,"✓","")</f>
        <v>✓</v>
      </c>
      <c r="C120" t="str">
        <f>IF(COUNTIFS('Menu Details'!$B:$B,$A120,'Menu Details'!$C:$C,"Lunch")&gt;0,"✓","")</f>
        <v>✓</v>
      </c>
      <c r="D120" t="str">
        <f>IF(COUNTIFS('Menu Details'!$B:$B,$A120,'Menu Details'!$C:$C,"Snacks")&gt;0,"✓","")</f>
        <v>✓</v>
      </c>
      <c r="E120" t="str">
        <f>IF(COUNTIFS('Menu Details'!$B:$B,$A120,'Menu Details'!$C:$C,"Dinner")&gt;0,"✓","")</f>
        <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08AD-7129-4A2B-916A-E0B2CDE8766D}">
  <dimension ref="A1:P53"/>
  <sheetViews>
    <sheetView workbookViewId="0">
      <selection activeCell="F11" sqref="F11"/>
    </sheetView>
  </sheetViews>
  <sheetFormatPr defaultRowHeight="15" x14ac:dyDescent="0.25"/>
  <cols>
    <col min="1" max="1" width="25.28515625" customWidth="1"/>
    <col min="2" max="2" width="19.28515625" customWidth="1"/>
    <col min="7" max="7" width="13.42578125" bestFit="1" customWidth="1"/>
    <col min="8" max="8" width="18.5703125" bestFit="1" customWidth="1"/>
    <col min="9" max="9" width="20.7109375" bestFit="1" customWidth="1"/>
    <col min="11" max="11" width="14" bestFit="1" customWidth="1"/>
    <col min="12" max="12" width="26" customWidth="1"/>
    <col min="13" max="13" width="20.7109375" bestFit="1" customWidth="1"/>
    <col min="14" max="14" width="17" customWidth="1"/>
    <col min="15" max="15" width="14.42578125" customWidth="1"/>
    <col min="16" max="16" width="14.85546875" customWidth="1"/>
  </cols>
  <sheetData>
    <row r="1" spans="1:16" x14ac:dyDescent="0.25">
      <c r="A1" s="30" t="s">
        <v>1381</v>
      </c>
      <c r="B1" s="30"/>
    </row>
    <row r="2" spans="1:16" x14ac:dyDescent="0.25">
      <c r="A2" t="s">
        <v>1371</v>
      </c>
      <c r="B2" t="s">
        <v>1372</v>
      </c>
      <c r="G2" s="31" t="s">
        <v>1382</v>
      </c>
      <c r="H2" s="29"/>
      <c r="I2" s="29"/>
      <c r="K2" s="29" t="s">
        <v>1393</v>
      </c>
      <c r="L2" s="29"/>
    </row>
    <row r="3" spans="1:16" x14ac:dyDescent="0.25">
      <c r="A3" t="s">
        <v>1373</v>
      </c>
      <c r="B3">
        <f>AVERAGE(DailyOrders)</f>
        <v>11.8125</v>
      </c>
      <c r="G3" t="s">
        <v>1389</v>
      </c>
      <c r="K3" t="s">
        <v>1390</v>
      </c>
    </row>
    <row r="4" spans="1:16" x14ac:dyDescent="0.25">
      <c r="A4" t="s">
        <v>1374</v>
      </c>
      <c r="B4">
        <f>MEDIAN(DailyOrders)</f>
        <v>13</v>
      </c>
      <c r="G4" s="4" t="s">
        <v>363</v>
      </c>
      <c r="H4" t="s">
        <v>1338</v>
      </c>
      <c r="I4" t="s">
        <v>750</v>
      </c>
      <c r="K4" s="4" t="s">
        <v>363</v>
      </c>
      <c r="L4" t="s">
        <v>1338</v>
      </c>
      <c r="M4" s="23" t="s">
        <v>1391</v>
      </c>
      <c r="N4" s="23" t="s">
        <v>1392</v>
      </c>
    </row>
    <row r="5" spans="1:16" x14ac:dyDescent="0.25">
      <c r="A5" t="s">
        <v>1375</v>
      </c>
      <c r="B5">
        <f>_xlfn.STDEV.P(DailyOrders)</f>
        <v>5.2506200030726529</v>
      </c>
      <c r="G5" s="11">
        <v>45748</v>
      </c>
      <c r="H5">
        <v>11</v>
      </c>
      <c r="I5">
        <v>1556</v>
      </c>
      <c r="K5" s="5" t="s">
        <v>736</v>
      </c>
      <c r="L5">
        <v>57</v>
      </c>
      <c r="M5">
        <f>(GETPIVOTDATA("Count of ORDER ID",$K$4,"DAY","Monday")/GETPIVOTDATA("Count of ORDER ID",$K$4))*100</f>
        <v>10.052910052910052</v>
      </c>
      <c r="N5">
        <f>AVERAGEIF(Table5[DAY],"Monday",Table5[ORDER VALUE])</f>
        <v>189.89473684210526</v>
      </c>
    </row>
    <row r="6" spans="1:16" x14ac:dyDescent="0.25">
      <c r="A6" t="s">
        <v>1376</v>
      </c>
      <c r="B6">
        <f>MIN(DailyOrders)</f>
        <v>1</v>
      </c>
      <c r="G6" s="11">
        <v>45749</v>
      </c>
      <c r="H6">
        <v>11</v>
      </c>
      <c r="I6">
        <v>1660</v>
      </c>
      <c r="K6" s="5" t="s">
        <v>606</v>
      </c>
      <c r="L6">
        <v>92</v>
      </c>
      <c r="M6">
        <f>(GETPIVOTDATA("Count of ORDER ID",$K$4,"DAY","Tuesday")/GETPIVOTDATA("Count of ORDER ID",$K$4))*100</f>
        <v>16.225749559082892</v>
      </c>
      <c r="N6">
        <f>AVERAGEIF(Table5[DAY],"Tuesday",Table5[ORDER VALUE])</f>
        <v>188.98901098901098</v>
      </c>
    </row>
    <row r="7" spans="1:16" x14ac:dyDescent="0.25">
      <c r="A7" t="s">
        <v>1377</v>
      </c>
      <c r="B7">
        <f>MAX(DailyOrders)</f>
        <v>21</v>
      </c>
      <c r="G7" s="11">
        <v>45750</v>
      </c>
      <c r="H7">
        <v>18</v>
      </c>
      <c r="I7">
        <v>3044</v>
      </c>
      <c r="K7" s="5" t="s">
        <v>632</v>
      </c>
      <c r="L7">
        <v>83</v>
      </c>
      <c r="M7">
        <f>(GETPIVOTDATA("Count of ORDER ID",$K$4,"DAY","Wednesday")/GETPIVOTDATA("Count of ORDER ID",$K$4))*100</f>
        <v>14.638447971781304</v>
      </c>
      <c r="N7">
        <f>AVERAGEIF(Table5[DAY],"Wednesday",Table5[ORDER VALUE])</f>
        <v>205.93827160493828</v>
      </c>
    </row>
    <row r="8" spans="1:16" x14ac:dyDescent="0.25">
      <c r="A8" t="s">
        <v>1378</v>
      </c>
      <c r="B8">
        <f>MAX(DailyOrders)-MIN(DailyOrders)</f>
        <v>20</v>
      </c>
      <c r="G8" s="11">
        <v>45751</v>
      </c>
      <c r="H8">
        <v>18</v>
      </c>
      <c r="I8">
        <v>3891</v>
      </c>
      <c r="K8" s="5" t="s">
        <v>648</v>
      </c>
      <c r="L8">
        <v>100</v>
      </c>
      <c r="M8">
        <f>(GETPIVOTDATA("Count of ORDER ID",$K$4,"DAY","Thursday")/GETPIVOTDATA("Count of ORDER ID",$K$4))*100</f>
        <v>17.636684303350968</v>
      </c>
      <c r="N8">
        <f>AVERAGEIF(Table5[DAY],"Thursday",Table5[ORDER VALUE])</f>
        <v>197.46</v>
      </c>
    </row>
    <row r="9" spans="1:16" x14ac:dyDescent="0.25">
      <c r="A9" t="s">
        <v>1353</v>
      </c>
      <c r="B9">
        <f>SUM(DailyOrders)</f>
        <v>567</v>
      </c>
      <c r="G9" s="11">
        <v>45752</v>
      </c>
      <c r="H9">
        <v>17</v>
      </c>
      <c r="I9">
        <v>3817</v>
      </c>
      <c r="K9" s="5" t="s">
        <v>678</v>
      </c>
      <c r="L9">
        <v>90</v>
      </c>
      <c r="M9">
        <f>(GETPIVOTDATA("Count of ORDER ID",$K$4,"DAY","Friday")/GETPIVOTDATA("Count of ORDER ID",$K$4))*100</f>
        <v>15.873015873015872</v>
      </c>
      <c r="N9">
        <f>AVERAGEIF(Table5[DAY],"Friday",Table5[ORDER VALUE])</f>
        <v>194.72222222222223</v>
      </c>
    </row>
    <row r="10" spans="1:16" x14ac:dyDescent="0.25">
      <c r="A10" t="s">
        <v>1379</v>
      </c>
      <c r="B10">
        <f>COUNT(DailyOrders)</f>
        <v>48</v>
      </c>
      <c r="G10" s="11">
        <v>45753</v>
      </c>
      <c r="H10">
        <v>20</v>
      </c>
      <c r="I10">
        <v>5736</v>
      </c>
      <c r="K10" s="5" t="s">
        <v>703</v>
      </c>
      <c r="L10">
        <v>73</v>
      </c>
      <c r="M10">
        <f>(GETPIVOTDATA("Count of ORDER ID",$K$4,"DAY","Saturday")/GETPIVOTDATA("Count of ORDER ID",$K$4))*100</f>
        <v>12.874779541446207</v>
      </c>
      <c r="N10">
        <f>AVERAGEIF(Table5[DAY],"Saturday",Table5[ORDER VALUE])</f>
        <v>218.56164383561645</v>
      </c>
    </row>
    <row r="11" spans="1:16" x14ac:dyDescent="0.25">
      <c r="A11" t="s">
        <v>1380</v>
      </c>
      <c r="B11">
        <f>_xlfn.STDEV.P(DailyOrders)/AVERAGE(DailyOrders)*100</f>
        <v>44.449693147704998</v>
      </c>
      <c r="G11" s="11">
        <v>45754</v>
      </c>
      <c r="H11">
        <v>16</v>
      </c>
      <c r="I11">
        <v>3772</v>
      </c>
      <c r="K11" s="5" t="s">
        <v>724</v>
      </c>
      <c r="L11">
        <v>72</v>
      </c>
      <c r="M11">
        <f>(GETPIVOTDATA("Count of ORDER ID",$K$4,"DAY","Sunday")/GETPIVOTDATA("Count of ORDER ID",$K$4))*100</f>
        <v>12.698412698412698</v>
      </c>
      <c r="N11">
        <f>AVERAGEIF(Table5[DAY],"Sunday",Table5[ORDER VALUE])</f>
        <v>278.56944444444446</v>
      </c>
    </row>
    <row r="12" spans="1:16" x14ac:dyDescent="0.25">
      <c r="G12" s="11">
        <v>45755</v>
      </c>
      <c r="H12">
        <v>21</v>
      </c>
      <c r="I12">
        <v>5028</v>
      </c>
      <c r="K12" s="5" t="s">
        <v>368</v>
      </c>
      <c r="L12">
        <v>567</v>
      </c>
      <c r="M12" s="23">
        <f>SUM(M5:M11)</f>
        <v>99.999999999999986</v>
      </c>
      <c r="N12" s="23">
        <f>SUM(N5:N11)</f>
        <v>1474.1353299383377</v>
      </c>
    </row>
    <row r="13" spans="1:16" x14ac:dyDescent="0.25">
      <c r="G13" s="11">
        <v>45756</v>
      </c>
      <c r="H13">
        <v>19</v>
      </c>
      <c r="I13">
        <v>3936</v>
      </c>
    </row>
    <row r="14" spans="1:16" x14ac:dyDescent="0.25">
      <c r="A14" s="30" t="s">
        <v>1383</v>
      </c>
      <c r="B14" s="30"/>
      <c r="G14" s="11">
        <v>45757</v>
      </c>
      <c r="H14">
        <v>15</v>
      </c>
      <c r="I14">
        <v>3179</v>
      </c>
    </row>
    <row r="15" spans="1:16" x14ac:dyDescent="0.25">
      <c r="A15" t="s">
        <v>1371</v>
      </c>
      <c r="B15" t="s">
        <v>1372</v>
      </c>
      <c r="G15" s="11">
        <v>45758</v>
      </c>
      <c r="H15">
        <v>9</v>
      </c>
      <c r="I15">
        <v>1110</v>
      </c>
      <c r="K15" s="29" t="s">
        <v>1400</v>
      </c>
      <c r="L15" s="29"/>
    </row>
    <row r="16" spans="1:16" x14ac:dyDescent="0.25">
      <c r="A16" t="s">
        <v>1384</v>
      </c>
      <c r="B16">
        <f>AVERAGE(DailyRevenue)</f>
        <v>2458.0416666666665</v>
      </c>
      <c r="G16" s="11">
        <v>45759</v>
      </c>
      <c r="H16">
        <v>12</v>
      </c>
      <c r="I16">
        <v>2143</v>
      </c>
      <c r="K16" s="4" t="s">
        <v>363</v>
      </c>
      <c r="L16" t="s">
        <v>1398</v>
      </c>
      <c r="M16" t="s">
        <v>1397</v>
      </c>
      <c r="N16" s="23" t="s">
        <v>1395</v>
      </c>
      <c r="O16" s="23" t="s">
        <v>1396</v>
      </c>
      <c r="P16" s="23" t="s">
        <v>1394</v>
      </c>
    </row>
    <row r="17" spans="1:16" x14ac:dyDescent="0.25">
      <c r="A17" t="s">
        <v>1385</v>
      </c>
      <c r="B17">
        <f>MEDIAN(DailyRevenue)</f>
        <v>2516.5</v>
      </c>
      <c r="G17" s="11">
        <v>45760</v>
      </c>
      <c r="H17">
        <v>13</v>
      </c>
      <c r="I17">
        <v>3396</v>
      </c>
      <c r="K17" s="5" t="s">
        <v>21</v>
      </c>
      <c r="L17">
        <v>68</v>
      </c>
      <c r="M17">
        <v>8090</v>
      </c>
      <c r="N17">
        <f>GETPIVOTDATA("REVENUE",$K$16,"CATEGORY(BREAKFAST/LUNCH/SNACKS/DINNER)","Breakfast")/GETPIVOTDATA("REVENUE",$K$16)*100</f>
        <v>6.8567457155933749</v>
      </c>
      <c r="O17">
        <f>GETPIVOTDATA("NUMBER OF ORDERS",$K$16,"CATEGORY(BREAKFAST/LUNCH/SNACKS/DINNER)","Breakfast")/GETPIVOTDATA("NUMBER OF ORDERS",$K$16)*100</f>
        <v>11.992945326278658</v>
      </c>
      <c r="P17" s="7">
        <f>GETPIVOTDATA("ORDER ID",$K$16,"CATEGORY(BREAKFAST/LUNCH/SNACKS/DINNER)","Breakfast")/48</f>
        <v>1.4166666666666667</v>
      </c>
    </row>
    <row r="18" spans="1:16" x14ac:dyDescent="0.25">
      <c r="A18" t="s">
        <v>1375</v>
      </c>
      <c r="B18">
        <f>_xlfn.STDEV.P(DailyRevenue)</f>
        <v>1303.6016927205521</v>
      </c>
      <c r="G18" s="11">
        <v>45761</v>
      </c>
      <c r="H18">
        <v>8</v>
      </c>
      <c r="I18">
        <v>1184</v>
      </c>
      <c r="K18" s="5" t="s">
        <v>18</v>
      </c>
      <c r="L18">
        <v>79</v>
      </c>
      <c r="M18">
        <v>8945</v>
      </c>
      <c r="N18">
        <f>GETPIVOTDATA("REVENUE",$K$16,"CATEGORY(BREAKFAST/LUNCH/SNACKS/DINNER)","Dinner")/GETPIVOTDATA("REVENUE",$K$16)*100</f>
        <v>7.5814079636567051</v>
      </c>
      <c r="O18">
        <f>GETPIVOTDATA("NUMBER OF ORDERS",$K$16,"CATEGORY(BREAKFAST/LUNCH/SNACKS/DINNER)","Dinner")/GETPIVOTDATA("NUMBER OF ORDERS",$K$16)*100</f>
        <v>13.932980599647266</v>
      </c>
      <c r="P18">
        <f>GETPIVOTDATA("ORDER ID",$K$16,"CATEGORY(BREAKFAST/LUNCH/SNACKS/DINNER)","Dinner")/48</f>
        <v>1.6458333333333333</v>
      </c>
    </row>
    <row r="19" spans="1:16" x14ac:dyDescent="0.25">
      <c r="A19" t="s">
        <v>1386</v>
      </c>
      <c r="B19">
        <f>MIN(DailyRevenue)</f>
        <v>129</v>
      </c>
      <c r="G19" s="11">
        <v>45762</v>
      </c>
      <c r="H19">
        <v>13</v>
      </c>
      <c r="I19">
        <v>1810</v>
      </c>
      <c r="K19" s="5" t="s">
        <v>10</v>
      </c>
      <c r="L19">
        <v>420</v>
      </c>
      <c r="M19">
        <v>100951</v>
      </c>
      <c r="N19">
        <f>GETPIVOTDATA("REVENUE",$K$16,"CATEGORY(BREAKFAST/LUNCH/SNACKS/DINNER)","Lunch")/GETPIVOTDATA("REVENUE",$K$16)*100</f>
        <v>85.561846320749922</v>
      </c>
      <c r="O19">
        <f>GETPIVOTDATA("NUMBER OF ORDERS",$K$16,"CATEGORY(BREAKFAST/LUNCH/SNACKS/DINNER)","Lunch")/GETPIVOTDATA("NUMBER OF ORDERS",$K$16)*100</f>
        <v>74.074074074074076</v>
      </c>
      <c r="P19">
        <f>GETPIVOTDATA("ORDER ID",$K$16,"CATEGORY(BREAKFAST/LUNCH/SNACKS/DINNER)","Lunch")/48</f>
        <v>8.75</v>
      </c>
    </row>
    <row r="20" spans="1:16" x14ac:dyDescent="0.25">
      <c r="A20" t="s">
        <v>1387</v>
      </c>
      <c r="B20">
        <f>MAX(DailyRevenue)</f>
        <v>5736</v>
      </c>
      <c r="G20" s="11">
        <v>45763</v>
      </c>
      <c r="H20">
        <v>15</v>
      </c>
      <c r="I20">
        <v>2786</v>
      </c>
      <c r="K20" s="5" t="s">
        <v>368</v>
      </c>
      <c r="L20">
        <v>567</v>
      </c>
      <c r="M20">
        <v>117986</v>
      </c>
      <c r="N20" s="23">
        <f>SUM(N17:N19)</f>
        <v>100</v>
      </c>
      <c r="O20" s="23">
        <f>SUM(O17:O19)</f>
        <v>100</v>
      </c>
      <c r="P20" s="23">
        <f>SUM(P17:P19)</f>
        <v>11.8125</v>
      </c>
    </row>
    <row r="21" spans="1:16" x14ac:dyDescent="0.25">
      <c r="A21" t="s">
        <v>1388</v>
      </c>
      <c r="B21">
        <f>MAX(DailyRevenue)-MIN(DailyRevenue)</f>
        <v>5607</v>
      </c>
      <c r="G21" s="11">
        <v>45764</v>
      </c>
      <c r="H21">
        <v>13</v>
      </c>
      <c r="I21">
        <v>2255</v>
      </c>
    </row>
    <row r="22" spans="1:16" x14ac:dyDescent="0.25">
      <c r="A22" t="s">
        <v>1352</v>
      </c>
      <c r="B22">
        <f>SUM(DailyRevenue)</f>
        <v>117986</v>
      </c>
      <c r="G22" s="11">
        <v>45765</v>
      </c>
      <c r="H22">
        <v>16</v>
      </c>
      <c r="I22">
        <v>3280</v>
      </c>
    </row>
    <row r="23" spans="1:16" x14ac:dyDescent="0.25">
      <c r="A23" t="s">
        <v>1379</v>
      </c>
      <c r="B23">
        <f>COUNT(DailyOrders)</f>
        <v>48</v>
      </c>
      <c r="G23" s="11">
        <v>45766</v>
      </c>
      <c r="H23">
        <v>16</v>
      </c>
      <c r="I23">
        <v>3595</v>
      </c>
      <c r="K23" s="29" t="s">
        <v>1399</v>
      </c>
      <c r="L23" s="29"/>
    </row>
    <row r="24" spans="1:16" x14ac:dyDescent="0.25">
      <c r="A24" t="s">
        <v>1380</v>
      </c>
      <c r="B24">
        <f>_xlfn.STDEV.P(DailyRevenue)/AVERAGE(DailyRevenue)*100</f>
        <v>53.034157654795067</v>
      </c>
      <c r="G24" s="11">
        <v>45767</v>
      </c>
      <c r="H24">
        <v>14</v>
      </c>
      <c r="I24">
        <v>3814</v>
      </c>
      <c r="K24" s="4" t="s">
        <v>363</v>
      </c>
      <c r="L24" t="s">
        <v>1398</v>
      </c>
      <c r="M24" t="s">
        <v>1397</v>
      </c>
      <c r="N24" s="23" t="s">
        <v>1401</v>
      </c>
      <c r="O24" s="23" t="s">
        <v>1402</v>
      </c>
      <c r="P24" s="23" t="s">
        <v>1395</v>
      </c>
    </row>
    <row r="25" spans="1:16" x14ac:dyDescent="0.25">
      <c r="G25" s="11">
        <v>45768</v>
      </c>
      <c r="H25">
        <v>5</v>
      </c>
      <c r="I25">
        <v>503</v>
      </c>
      <c r="K25" s="5" t="s">
        <v>623</v>
      </c>
      <c r="L25">
        <v>269</v>
      </c>
      <c r="M25">
        <v>81216</v>
      </c>
      <c r="N25">
        <f>GETPIVOTDATA("NUMBER OF ORDERS",$K$24,"TYPE(SUBSCRIPTION/REGULAR)","REGULAR")/GETPIVOTDATA("NUMBER OF ORDERS",$K$24)*100</f>
        <v>47.442680776014107</v>
      </c>
      <c r="O25">
        <f>GETPIVOTDATA("NUMBER OF ORDERS",$K$24,"TYPE(SUBSCRIPTION/REGULAR)","REGULAR")/48</f>
        <v>5.604166666666667</v>
      </c>
      <c r="P25">
        <f>GETPIVOTDATA("REVENUE",$K$24,"TYPE(SUBSCRIPTION/REGULAR)","REGULAR")/GETPIVOTDATA("REVENUE",$K$24)*100</f>
        <v>68.83528554235248</v>
      </c>
    </row>
    <row r="26" spans="1:16" x14ac:dyDescent="0.25">
      <c r="G26" s="11">
        <v>45769</v>
      </c>
      <c r="H26">
        <v>10</v>
      </c>
      <c r="I26">
        <v>1529</v>
      </c>
      <c r="K26" s="5" t="s">
        <v>607</v>
      </c>
      <c r="L26">
        <v>298</v>
      </c>
      <c r="M26">
        <v>36770</v>
      </c>
      <c r="N26">
        <f>GETPIVOTDATA("NUMBER OF ORDERS",$K$24,"TYPE(SUBSCRIPTION/REGULAR)","SUBSCRIPTION")/GETPIVOTDATA("NUMBER OF ORDERS",$K$24)*100</f>
        <v>52.557319223985886</v>
      </c>
      <c r="O26">
        <f>GETPIVOTDATA("NUMBER OF ORDERS",$K$24,"TYPE(SUBSCRIPTION/REGULAR)","SUBSCRIPTION")/48</f>
        <v>6.208333333333333</v>
      </c>
      <c r="P26">
        <f>GETPIVOTDATA("REVENUE",$K$24,"TYPE(SUBSCRIPTION/REGULAR)","SUBSCRIPTION")/GETPIVOTDATA("REVENUE",$K$24)*100</f>
        <v>31.16471445764752</v>
      </c>
    </row>
    <row r="27" spans="1:16" x14ac:dyDescent="0.25">
      <c r="G27" s="11">
        <v>45770</v>
      </c>
      <c r="H27">
        <v>12</v>
      </c>
      <c r="I27">
        <v>2256</v>
      </c>
      <c r="K27" s="5" t="s">
        <v>368</v>
      </c>
      <c r="L27">
        <v>567</v>
      </c>
      <c r="M27">
        <v>117986</v>
      </c>
      <c r="N27" s="23">
        <f>SUM(N25:N26)</f>
        <v>100</v>
      </c>
      <c r="O27" s="23">
        <f>SUM(O25:O26)</f>
        <v>11.8125</v>
      </c>
      <c r="P27" s="23">
        <f>SUM(P25:P26)</f>
        <v>100</v>
      </c>
    </row>
    <row r="28" spans="1:16" x14ac:dyDescent="0.25">
      <c r="G28" s="11">
        <v>45771</v>
      </c>
      <c r="H28">
        <v>13</v>
      </c>
      <c r="I28">
        <v>2442</v>
      </c>
    </row>
    <row r="29" spans="1:16" x14ac:dyDescent="0.25">
      <c r="G29" s="11">
        <v>45772</v>
      </c>
      <c r="H29">
        <v>7</v>
      </c>
      <c r="I29">
        <v>874</v>
      </c>
    </row>
    <row r="30" spans="1:16" x14ac:dyDescent="0.25">
      <c r="G30" s="11">
        <v>45773</v>
      </c>
      <c r="H30">
        <v>14</v>
      </c>
      <c r="I30">
        <v>3043</v>
      </c>
      <c r="K30" s="29" t="s">
        <v>1404</v>
      </c>
      <c r="L30" s="29"/>
    </row>
    <row r="31" spans="1:16" x14ac:dyDescent="0.25">
      <c r="G31" s="11">
        <v>45774</v>
      </c>
      <c r="H31">
        <v>11</v>
      </c>
      <c r="I31">
        <v>2924</v>
      </c>
      <c r="K31" s="4" t="s">
        <v>363</v>
      </c>
      <c r="L31" t="s">
        <v>1403</v>
      </c>
    </row>
    <row r="32" spans="1:16" x14ac:dyDescent="0.25">
      <c r="G32" s="11">
        <v>45775</v>
      </c>
      <c r="H32">
        <v>13</v>
      </c>
      <c r="I32">
        <v>2690</v>
      </c>
      <c r="K32" s="5" t="s">
        <v>34</v>
      </c>
      <c r="L32">
        <v>386</v>
      </c>
    </row>
    <row r="33" spans="7:12" x14ac:dyDescent="0.25">
      <c r="G33" s="11">
        <v>45776</v>
      </c>
      <c r="H33">
        <v>13</v>
      </c>
      <c r="I33">
        <v>2390</v>
      </c>
      <c r="K33" s="5" t="s">
        <v>11</v>
      </c>
      <c r="L33">
        <v>494</v>
      </c>
    </row>
    <row r="34" spans="7:12" x14ac:dyDescent="0.25">
      <c r="G34" s="11">
        <v>45778</v>
      </c>
      <c r="H34">
        <v>15</v>
      </c>
      <c r="I34">
        <v>3826</v>
      </c>
      <c r="K34" s="5" t="s">
        <v>368</v>
      </c>
      <c r="L34">
        <v>880</v>
      </c>
    </row>
    <row r="35" spans="7:12" x14ac:dyDescent="0.25">
      <c r="G35" s="11">
        <v>45779</v>
      </c>
      <c r="H35">
        <v>15</v>
      </c>
      <c r="I35">
        <v>3048</v>
      </c>
    </row>
    <row r="36" spans="7:12" x14ac:dyDescent="0.25">
      <c r="G36" s="11">
        <v>45780</v>
      </c>
      <c r="H36">
        <v>2</v>
      </c>
      <c r="I36">
        <v>278</v>
      </c>
    </row>
    <row r="37" spans="7:12" x14ac:dyDescent="0.25">
      <c r="G37" s="11">
        <v>45781</v>
      </c>
      <c r="H37">
        <v>1</v>
      </c>
      <c r="I37">
        <v>280</v>
      </c>
    </row>
    <row r="38" spans="7:12" x14ac:dyDescent="0.25">
      <c r="G38" s="11">
        <v>45782</v>
      </c>
      <c r="H38">
        <v>2</v>
      </c>
      <c r="I38">
        <v>289</v>
      </c>
    </row>
    <row r="39" spans="7:12" x14ac:dyDescent="0.25">
      <c r="G39" s="11">
        <v>45783</v>
      </c>
      <c r="H39">
        <v>6</v>
      </c>
      <c r="I39">
        <v>1984</v>
      </c>
    </row>
    <row r="40" spans="7:12" x14ac:dyDescent="0.25">
      <c r="G40" s="11">
        <v>45784</v>
      </c>
      <c r="H40">
        <v>8</v>
      </c>
      <c r="I40">
        <v>2179</v>
      </c>
    </row>
    <row r="41" spans="7:12" x14ac:dyDescent="0.25">
      <c r="G41" s="11">
        <v>45785</v>
      </c>
      <c r="H41">
        <v>10</v>
      </c>
      <c r="I41">
        <v>2409</v>
      </c>
    </row>
    <row r="42" spans="7:12" x14ac:dyDescent="0.25">
      <c r="G42" s="11">
        <v>45786</v>
      </c>
      <c r="H42">
        <v>13</v>
      </c>
      <c r="I42">
        <v>3938</v>
      </c>
    </row>
    <row r="43" spans="7:12" x14ac:dyDescent="0.25">
      <c r="G43" s="11">
        <v>45787</v>
      </c>
      <c r="H43">
        <v>11</v>
      </c>
      <c r="I43">
        <v>2674</v>
      </c>
    </row>
    <row r="44" spans="7:12" x14ac:dyDescent="0.25">
      <c r="G44" s="11">
        <v>45788</v>
      </c>
      <c r="H44">
        <v>12</v>
      </c>
      <c r="I44">
        <v>3527</v>
      </c>
    </row>
    <row r="45" spans="7:12" x14ac:dyDescent="0.25">
      <c r="G45" s="11">
        <v>45789</v>
      </c>
      <c r="H45">
        <v>12</v>
      </c>
      <c r="I45">
        <v>2257</v>
      </c>
    </row>
    <row r="46" spans="7:12" x14ac:dyDescent="0.25">
      <c r="G46" s="11">
        <v>45790</v>
      </c>
      <c r="H46">
        <v>18</v>
      </c>
      <c r="I46">
        <v>2901</v>
      </c>
    </row>
    <row r="47" spans="7:12" x14ac:dyDescent="0.25">
      <c r="G47" s="11">
        <v>45791</v>
      </c>
      <c r="H47">
        <v>18</v>
      </c>
      <c r="I47">
        <v>3864</v>
      </c>
    </row>
    <row r="48" spans="7:12" x14ac:dyDescent="0.25">
      <c r="G48" s="11">
        <v>45792</v>
      </c>
      <c r="H48">
        <v>16</v>
      </c>
      <c r="I48">
        <v>2591</v>
      </c>
    </row>
    <row r="49" spans="7:9" x14ac:dyDescent="0.25">
      <c r="G49" s="11">
        <v>45793</v>
      </c>
      <c r="H49">
        <v>12</v>
      </c>
      <c r="I49">
        <v>1384</v>
      </c>
    </row>
    <row r="50" spans="7:9" x14ac:dyDescent="0.25">
      <c r="G50" s="11">
        <v>45794</v>
      </c>
      <c r="H50">
        <v>1</v>
      </c>
      <c r="I50">
        <v>405</v>
      </c>
    </row>
    <row r="51" spans="7:9" x14ac:dyDescent="0.25">
      <c r="G51" s="11">
        <v>45795</v>
      </c>
      <c r="H51">
        <v>1</v>
      </c>
      <c r="I51">
        <v>380</v>
      </c>
    </row>
    <row r="52" spans="7:9" x14ac:dyDescent="0.25">
      <c r="G52" s="11">
        <v>45803</v>
      </c>
      <c r="H52">
        <v>1</v>
      </c>
      <c r="I52">
        <v>129</v>
      </c>
    </row>
    <row r="53" spans="7:9" x14ac:dyDescent="0.25">
      <c r="G53" s="5" t="s">
        <v>368</v>
      </c>
      <c r="H53">
        <v>567</v>
      </c>
      <c r="I53">
        <v>117986</v>
      </c>
    </row>
  </sheetData>
  <mergeCells count="7">
    <mergeCell ref="K15:L15"/>
    <mergeCell ref="K23:L23"/>
    <mergeCell ref="K30:L30"/>
    <mergeCell ref="A1:B1"/>
    <mergeCell ref="G2:I2"/>
    <mergeCell ref="A14:B14"/>
    <mergeCell ref="K2:L2"/>
  </mergeCells>
  <pageMargins left="0.7" right="0.7" top="0.75" bottom="0.75" header="0.3" footer="0.3"/>
  <tableParts count="2">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86f656f-868b-466e-be8d-86f11f258c7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2E0BFDA19CD04BBBC0BCA164A788D2" ma:contentTypeVersion="11" ma:contentTypeDescription="Create a new document." ma:contentTypeScope="" ma:versionID="2e3d99b4c5109196b2e966cac2bef203">
  <xsd:schema xmlns:xsd="http://www.w3.org/2001/XMLSchema" xmlns:xs="http://www.w3.org/2001/XMLSchema" xmlns:p="http://schemas.microsoft.com/office/2006/metadata/properties" xmlns:ns3="b86f656f-868b-466e-be8d-86f11f258c7c" targetNamespace="http://schemas.microsoft.com/office/2006/metadata/properties" ma:root="true" ma:fieldsID="c4dc3104d894066fc3e93dd3b9e69693" ns3:_="">
    <xsd:import namespace="b86f656f-868b-466e-be8d-86f11f258c7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6f656f-868b-466e-be8d-86f11f258c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128E32-C956-462A-8849-183C825258DD}">
  <ds:schemaRefs>
    <ds:schemaRef ds:uri="http://schemas.microsoft.com/sharepoint/v3/contenttype/forms"/>
  </ds:schemaRefs>
</ds:datastoreItem>
</file>

<file path=customXml/itemProps2.xml><?xml version="1.0" encoding="utf-8"?>
<ds:datastoreItem xmlns:ds="http://schemas.openxmlformats.org/officeDocument/2006/customXml" ds:itemID="{F77C1EF8-8781-4F6E-A6F4-3B9D9C0B7841}">
  <ds:schemaRefs>
    <ds:schemaRef ds:uri="http://schemas.microsoft.com/office/2006/metadata/properties"/>
    <ds:schemaRef ds:uri="http://schemas.microsoft.com/office/infopath/2007/PartnerControls"/>
    <ds:schemaRef ds:uri="b86f656f-868b-466e-be8d-86f11f258c7c"/>
  </ds:schemaRefs>
</ds:datastoreItem>
</file>

<file path=customXml/itemProps3.xml><?xml version="1.0" encoding="utf-8"?>
<ds:datastoreItem xmlns:ds="http://schemas.openxmlformats.org/officeDocument/2006/customXml" ds:itemID="{781A1AC7-3D87-4949-8F8D-03A618114F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6f656f-868b-466e-be8d-86f11f258c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Menu Details</vt:lpstr>
      <vt:lpstr>Order Data  </vt:lpstr>
      <vt:lpstr>Demand Forecasting</vt:lpstr>
      <vt:lpstr>ABC Classification</vt:lpstr>
      <vt:lpstr>EOQ and ROP</vt:lpstr>
      <vt:lpstr>Contribution Margin</vt:lpstr>
      <vt:lpstr>Ingredient Costs</vt:lpstr>
      <vt:lpstr>Operational Events</vt:lpstr>
      <vt:lpstr>Availability matrix</vt:lpstr>
      <vt:lpstr>Descriptive Analysis</vt:lpstr>
      <vt:lpstr>Daily_Orders</vt:lpstr>
      <vt:lpstr>Daily_revenue</vt:lpstr>
      <vt:lpstr>DailyOrders</vt:lpstr>
      <vt:lpstr>DailyRevenue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HEMA VARSHNI M</dc:creator>
  <cp:keywords/>
  <dc:description/>
  <cp:lastModifiedBy>HEMA VARSHNI M</cp:lastModifiedBy>
  <cp:revision/>
  <dcterms:created xsi:type="dcterms:W3CDTF">2025-12-06T07:27:21Z</dcterms:created>
  <dcterms:modified xsi:type="dcterms:W3CDTF">2026-04-03T17:14:42Z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0x010100682E0BFDA19CD04BBBC0BCA164A788D2</vt:lpwstr>
  </property>
</Properties>
</file>